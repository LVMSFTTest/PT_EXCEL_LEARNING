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dex" sheetId="1" state="visible" r:id="rId3"/>
    <sheet name="🛍️ Shopping Data" sheetId="2" state="visible" r:id="rId4"/>
    <sheet name="🎓 Student Results" sheetId="3" state="visible" r:id="rId5"/>
    <sheet name="📦 Products" sheetId="4" state="visible" r:id="rId6"/>
    <sheet name="👤 Customers" sheetId="5" state="visible" r:id="rId7"/>
    <sheet name="🍎 VLOOKUP Demo" sheetId="6" state="visible" r:id="rId8"/>
    <sheet name="🔃 Sort &amp; Filter" sheetId="7" state="visible" r:id="rId9"/>
    <sheet name="✏️ Text Functions" sheetId="8" state="visible" r:id="rId10"/>
    <sheet name="📅 Dates &amp; Time" sheetId="9" state="visible" r:id="rId11"/>
    <sheet name="📊 Subtota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<sst xmlns="http://schemas.openxmlformats.org/spreadsheetml/2006/main" count="1468" uniqueCount="506">
  <si>
    <t xml:space="preserve">Excel Fundamentals — Session Dataset Reference</t>
  </si>
  <si>
    <t xml:space="preserve">All datasets used in the 3-hour training session  •  Extracted from Excel_Fundamentals class file</t>
  </si>
  <si>
    <t xml:space="preserve">  Dataset Index</t>
  </si>
  <si>
    <t xml:space="preserve">Sheet Name</t>
  </si>
  <si>
    <t xml:space="preserve">Dataset</t>
  </si>
  <si>
    <t xml:space="preserve">Rows</t>
  </si>
  <si>
    <t xml:space="preserve">Key Columns</t>
  </si>
  <si>
    <t xml:space="preserve">Used For Module</t>
  </si>
  <si>
    <t xml:space="preserve">Formula Practice</t>
  </si>
  <si>
    <t xml:space="preserve">🛍️ Shopping Data</t>
  </si>
  <si>
    <t xml:space="preserve">customer_shopping_data</t>
  </si>
  <si>
    <t xml:space="preserve">200</t>
  </si>
  <si>
    <t xml:space="preserve">invoice_no, category, price, gender</t>
  </si>
  <si>
    <t xml:space="preserve">SUM, SUMIF, VLOOKUP, Filter, Sort</t>
  </si>
  <si>
    <t xml:space="preserve"> =SUM(F:F)  |  =SUMIF(D:D,Shoes,F:F)</t>
  </si>
  <si>
    <t xml:space="preserve">🎓 Student Results</t>
  </si>
  <si>
    <t xml:space="preserve">Conditional Formatting</t>
  </si>
  <si>
    <t xml:space="preserve">50</t>
  </si>
  <si>
    <t xml:space="preserve">Name, 5 Subjects, Total, Grade</t>
  </si>
  <si>
    <t xml:space="preserve">Nested IF, AVERAGE, Cond. Formatting</t>
  </si>
  <si>
    <t xml:space="preserve"> =IF(H2&gt;=90,A++,IF(H2&gt;=80,A+,...))</t>
  </si>
  <si>
    <t xml:space="preserve">📦 Products</t>
  </si>
  <si>
    <t xml:space="preserve">Practice 1</t>
  </si>
  <si>
    <t xml:space="preserve">5</t>
  </si>
  <si>
    <t xml:space="preserve">Product, Price, Qty Sold</t>
  </si>
  <si>
    <t xml:space="preserve">SUM, VLOOKUP, COUNT, AVERAGE</t>
  </si>
  <si>
    <t xml:space="preserve"> =B2*C2  |  =VLOOKUP(Mouse,$A$2:$B$6,2,FALSE)</t>
  </si>
  <si>
    <t xml:space="preserve">👤 Customers</t>
  </si>
  <si>
    <t xml:space="preserve">Practice 2</t>
  </si>
  <si>
    <t xml:space="preserve">6</t>
  </si>
  <si>
    <t xml:space="preserve">Name, Email, Amount, Date</t>
  </si>
  <si>
    <t xml:space="preserve">Data Cleaning, TRIM, Duplicates</t>
  </si>
  <si>
    <t xml:space="preserve"> =TRIM(A2)  |  =PROPER(A2)</t>
  </si>
  <si>
    <t xml:space="preserve">🍎 Fruits VLOOKUP</t>
  </si>
  <si>
    <t xml:space="preserve">VLOOKUP sheet</t>
  </si>
  <si>
    <t xml:space="preserve">Product, Price</t>
  </si>
  <si>
    <t xml:space="preserve">VLOOKUP demo</t>
  </si>
  <si>
    <t xml:space="preserve"> =VLOOKUP(Orange,$B$2:$C$6,2,FALSE)</t>
  </si>
  <si>
    <t xml:space="preserve">🔃 Sort &amp; Filter</t>
  </si>
  <si>
    <t xml:space="preserve">Sort &amp; Filter sheet</t>
  </si>
  <si>
    <t xml:space="preserve">30</t>
  </si>
  <si>
    <t xml:space="preserve">Full shopping subset</t>
  </si>
  <si>
    <t xml:space="preserve">Sort, Filter, Subtotal</t>
  </si>
  <si>
    <t xml:space="preserve"> Data → Sort  |  Filter  |  Subtotal</t>
  </si>
  <si>
    <t xml:space="preserve">✏️ Names Concat</t>
  </si>
  <si>
    <t xml:space="preserve">Concat sheet</t>
  </si>
  <si>
    <t xml:space="preserve">8</t>
  </si>
  <si>
    <t xml:space="preserve">First Name, Last Name</t>
  </si>
  <si>
    <t xml:space="preserve">CONCATENATE, &amp; operator</t>
  </si>
  <si>
    <t xml:space="preserve"> =B2 &amp; A1  |  CONCAT(B2,C2)</t>
  </si>
  <si>
    <t xml:space="preserve">📅 Dates</t>
  </si>
  <si>
    <t xml:space="preserve">Dates &amp; Time sheet</t>
  </si>
  <si>
    <t xml:space="preserve">3</t>
  </si>
  <si>
    <t xml:space="preserve">Start Date, End Date</t>
  </si>
  <si>
    <t xml:space="preserve">DAYS, TODAY, YEAR, MONTH</t>
  </si>
  <si>
    <t xml:space="preserve"> =B2-A2  |  =TODAY()-A2  |  =YEAR(A2)</t>
  </si>
  <si>
    <t xml:space="preserve">📊 Subtotal</t>
  </si>
  <si>
    <t xml:space="preserve">Subtotal sheet</t>
  </si>
  <si>
    <t xml:space="preserve">10</t>
  </si>
  <si>
    <t xml:space="preserve">Region, Sales</t>
  </si>
  <si>
    <t xml:space="preserve">Subtotal, Group by region</t>
  </si>
  <si>
    <t xml:space="preserve"> =SUBTOTAL(9,B2:B11)</t>
  </si>
  <si>
    <t xml:space="preserve">Customer Shopping Data  —  200 Transactions from Istanbul Shopping Malls</t>
  </si>
  <si>
    <t xml:space="preserve">Key Formulas:  =SUM(F2:F201)  |  =SUMIF(D2:D201,"Shoes",F2:F201)  |  =COUNTIF(B2:B201,"Female")  |  =VLOOKUP(A2,$A$2:$I$201,4,FALSE)</t>
  </si>
  <si>
    <t xml:space="preserve">INVOICE_NO</t>
  </si>
  <si>
    <t xml:space="preserve">GENDER</t>
  </si>
  <si>
    <t xml:space="preserve">AGE</t>
  </si>
  <si>
    <t xml:space="preserve">CATEGORY</t>
  </si>
  <si>
    <t xml:space="preserve">QUANTITY</t>
  </si>
  <si>
    <t xml:space="preserve">PRICE</t>
  </si>
  <si>
    <t xml:space="preserve">PAYMENT_METHOD</t>
  </si>
  <si>
    <t xml:space="preserve">INVOICE_DATE</t>
  </si>
  <si>
    <t xml:space="preserve">SHOPPING_MALL</t>
  </si>
  <si>
    <t xml:space="preserve">SUMMARY</t>
  </si>
  <si>
    <t xml:space="preserve">I138884</t>
  </si>
  <si>
    <t xml:space="preserve">Female</t>
  </si>
  <si>
    <t xml:space="preserve">Clothing</t>
  </si>
  <si>
    <t xml:space="preserve">Credit Card</t>
  </si>
  <si>
    <t xml:space="preserve">Kanyon</t>
  </si>
  <si>
    <t xml:space="preserve">Total Revenue</t>
  </si>
  <si>
    <t xml:space="preserve">I317333</t>
  </si>
  <si>
    <t xml:space="preserve">Male</t>
  </si>
  <si>
    <t xml:space="preserve">Shoes</t>
  </si>
  <si>
    <t xml:space="preserve">Debit Card</t>
  </si>
  <si>
    <t xml:space="preserve">Forum Istanbul</t>
  </si>
  <si>
    <t xml:space="preserve">Avg Price</t>
  </si>
  <si>
    <t xml:space="preserve">I127801</t>
  </si>
  <si>
    <t xml:space="preserve">Cash</t>
  </si>
  <si>
    <t xml:space="preserve">Metrocity</t>
  </si>
  <si>
    <t xml:space="preserve">Max Price</t>
  </si>
  <si>
    <t xml:space="preserve">I173702</t>
  </si>
  <si>
    <t xml:space="preserve">Metropol AVM</t>
  </si>
  <si>
    <t xml:space="preserve">Min Price</t>
  </si>
  <si>
    <t xml:space="preserve">I337046</t>
  </si>
  <si>
    <t xml:space="preserve">Books</t>
  </si>
  <si>
    <t xml:space="preserve">Total Rows</t>
  </si>
  <si>
    <t xml:space="preserve">I227836</t>
  </si>
  <si>
    <t xml:space="preserve">Female Count</t>
  </si>
  <si>
    <t xml:space="preserve">I121056</t>
  </si>
  <si>
    <t xml:space="preserve">Cosmetics</t>
  </si>
  <si>
    <t xml:space="preserve">Istinye Park</t>
  </si>
  <si>
    <t xml:space="preserve">Male Count</t>
  </si>
  <si>
    <t xml:space="preserve">I293112</t>
  </si>
  <si>
    <t xml:space="preserve">Mall of Istanbul</t>
  </si>
  <si>
    <t xml:space="preserve">I293455</t>
  </si>
  <si>
    <t xml:space="preserve">Clothing Sales</t>
  </si>
  <si>
    <t xml:space="preserve">I326945</t>
  </si>
  <si>
    <t xml:space="preserve">Shoes Sales</t>
  </si>
  <si>
    <t xml:space="preserve">I306368</t>
  </si>
  <si>
    <t xml:space="preserve">Food &amp; Beverage</t>
  </si>
  <si>
    <t xml:space="preserve">I139207</t>
  </si>
  <si>
    <t xml:space="preserve">Emaar Square Mall</t>
  </si>
  <si>
    <t xml:space="preserve">I640508</t>
  </si>
  <si>
    <t xml:space="preserve">Toys</t>
  </si>
  <si>
    <t xml:space="preserve">I179802</t>
  </si>
  <si>
    <t xml:space="preserve">Cevahir AVM</t>
  </si>
  <si>
    <t xml:space="preserve">I336189</t>
  </si>
  <si>
    <t xml:space="preserve">I688768</t>
  </si>
  <si>
    <t xml:space="preserve">Viaport Outlet</t>
  </si>
  <si>
    <t xml:space="preserve">I294687</t>
  </si>
  <si>
    <t xml:space="preserve">I195744</t>
  </si>
  <si>
    <t xml:space="preserve">Zorlu Center</t>
  </si>
  <si>
    <t xml:space="preserve">I993048</t>
  </si>
  <si>
    <t xml:space="preserve">I992454</t>
  </si>
  <si>
    <t xml:space="preserve">I183746</t>
  </si>
  <si>
    <t xml:space="preserve">I412481</t>
  </si>
  <si>
    <t xml:space="preserve">I823067</t>
  </si>
  <si>
    <t xml:space="preserve">I252275</t>
  </si>
  <si>
    <t xml:space="preserve">Technology</t>
  </si>
  <si>
    <t xml:space="preserve">I174250</t>
  </si>
  <si>
    <t xml:space="preserve">I195396</t>
  </si>
  <si>
    <t xml:space="preserve">I196704</t>
  </si>
  <si>
    <t xml:space="preserve">I217053</t>
  </si>
  <si>
    <t xml:space="preserve">I655874</t>
  </si>
  <si>
    <t xml:space="preserve">I209744</t>
  </si>
  <si>
    <t xml:space="preserve">I161949</t>
  </si>
  <si>
    <t xml:space="preserve">I331891</t>
  </si>
  <si>
    <t xml:space="preserve">I768348</t>
  </si>
  <si>
    <t xml:space="preserve">I109053</t>
  </si>
  <si>
    <t xml:space="preserve">I167211</t>
  </si>
  <si>
    <t xml:space="preserve">I339732</t>
  </si>
  <si>
    <t xml:space="preserve">I147062</t>
  </si>
  <si>
    <t xml:space="preserve">I187519</t>
  </si>
  <si>
    <t xml:space="preserve">I106674</t>
  </si>
  <si>
    <t xml:space="preserve">I473411</t>
  </si>
  <si>
    <t xml:space="preserve">I246550</t>
  </si>
  <si>
    <t xml:space="preserve">I138674</t>
  </si>
  <si>
    <t xml:space="preserve">I752693</t>
  </si>
  <si>
    <t xml:space="preserve">I826174</t>
  </si>
  <si>
    <t xml:space="preserve">I296025</t>
  </si>
  <si>
    <t xml:space="preserve">I117291</t>
  </si>
  <si>
    <t xml:space="preserve">I267193</t>
  </si>
  <si>
    <t xml:space="preserve">I205366</t>
  </si>
  <si>
    <t xml:space="preserve">I269690</t>
  </si>
  <si>
    <t xml:space="preserve">I304265</t>
  </si>
  <si>
    <t xml:space="preserve">I246562</t>
  </si>
  <si>
    <t xml:space="preserve">I202367</t>
  </si>
  <si>
    <t xml:space="preserve">I664787</t>
  </si>
  <si>
    <t xml:space="preserve">I160777</t>
  </si>
  <si>
    <t xml:space="preserve">I137794</t>
  </si>
  <si>
    <t xml:space="preserve">I148377</t>
  </si>
  <si>
    <t xml:space="preserve">I258195</t>
  </si>
  <si>
    <t xml:space="preserve">I300213</t>
  </si>
  <si>
    <t xml:space="preserve">I263803</t>
  </si>
  <si>
    <t xml:space="preserve">I335713</t>
  </si>
  <si>
    <t xml:space="preserve">I133061</t>
  </si>
  <si>
    <t xml:space="preserve">I207205</t>
  </si>
  <si>
    <t xml:space="preserve">I209289</t>
  </si>
  <si>
    <t xml:space="preserve">I157285</t>
  </si>
  <si>
    <t xml:space="preserve">I218590</t>
  </si>
  <si>
    <t xml:space="preserve">I181109</t>
  </si>
  <si>
    <t xml:space="preserve">I221715</t>
  </si>
  <si>
    <t xml:space="preserve">I204979</t>
  </si>
  <si>
    <t xml:space="preserve">Souvenir</t>
  </si>
  <si>
    <t xml:space="preserve">I115146</t>
  </si>
  <si>
    <t xml:space="preserve">I883721</t>
  </si>
  <si>
    <t xml:space="preserve">I402376</t>
  </si>
  <si>
    <t xml:space="preserve">I251356</t>
  </si>
  <si>
    <t xml:space="preserve">I292239</t>
  </si>
  <si>
    <t xml:space="preserve">I276526</t>
  </si>
  <si>
    <t xml:space="preserve">I260525</t>
  </si>
  <si>
    <t xml:space="preserve">I870944</t>
  </si>
  <si>
    <t xml:space="preserve">I739573</t>
  </si>
  <si>
    <t xml:space="preserve">I115870</t>
  </si>
  <si>
    <t xml:space="preserve">I190444</t>
  </si>
  <si>
    <t xml:space="preserve">I309552</t>
  </si>
  <si>
    <t xml:space="preserve">I306076</t>
  </si>
  <si>
    <t xml:space="preserve">I321683</t>
  </si>
  <si>
    <t xml:space="preserve">I151332</t>
  </si>
  <si>
    <t xml:space="preserve">I340014</t>
  </si>
  <si>
    <t xml:space="preserve">I249424</t>
  </si>
  <si>
    <t xml:space="preserve">I227716</t>
  </si>
  <si>
    <t xml:space="preserve">I140663</t>
  </si>
  <si>
    <t xml:space="preserve">I253242</t>
  </si>
  <si>
    <t xml:space="preserve">I108359</t>
  </si>
  <si>
    <t xml:space="preserve">I195567</t>
  </si>
  <si>
    <t xml:space="preserve">I289643</t>
  </si>
  <si>
    <t xml:space="preserve">I722319</t>
  </si>
  <si>
    <t xml:space="preserve">I317105</t>
  </si>
  <si>
    <t xml:space="preserve">I215721</t>
  </si>
  <si>
    <t xml:space="preserve">I154469</t>
  </si>
  <si>
    <t xml:space="preserve">I172458</t>
  </si>
  <si>
    <t xml:space="preserve">I297270</t>
  </si>
  <si>
    <t xml:space="preserve">I153930</t>
  </si>
  <si>
    <t xml:space="preserve">I282854</t>
  </si>
  <si>
    <t xml:space="preserve">I869144</t>
  </si>
  <si>
    <t xml:space="preserve">I283443</t>
  </si>
  <si>
    <t xml:space="preserve">I193271</t>
  </si>
  <si>
    <t xml:space="preserve">I985478</t>
  </si>
  <si>
    <t xml:space="preserve">I200392</t>
  </si>
  <si>
    <t xml:space="preserve">I256691</t>
  </si>
  <si>
    <t xml:space="preserve">I796162</t>
  </si>
  <si>
    <t xml:space="preserve">I224371</t>
  </si>
  <si>
    <t xml:space="preserve">I215998</t>
  </si>
  <si>
    <t xml:space="preserve">I338966</t>
  </si>
  <si>
    <t xml:space="preserve">I293215</t>
  </si>
  <si>
    <t xml:space="preserve">I149688</t>
  </si>
  <si>
    <t xml:space="preserve">I109649</t>
  </si>
  <si>
    <t xml:space="preserve">I299820</t>
  </si>
  <si>
    <t xml:space="preserve">I157775</t>
  </si>
  <si>
    <t xml:space="preserve">I317140</t>
  </si>
  <si>
    <t xml:space="preserve">I147334</t>
  </si>
  <si>
    <t xml:space="preserve">I278121</t>
  </si>
  <si>
    <t xml:space="preserve">I134452</t>
  </si>
  <si>
    <t xml:space="preserve">I320846</t>
  </si>
  <si>
    <t xml:space="preserve">I740676</t>
  </si>
  <si>
    <t xml:space="preserve">I142331</t>
  </si>
  <si>
    <t xml:space="preserve">I222983</t>
  </si>
  <si>
    <t xml:space="preserve">I164665</t>
  </si>
  <si>
    <t xml:space="preserve">I133387</t>
  </si>
  <si>
    <t xml:space="preserve">I276763</t>
  </si>
  <si>
    <t xml:space="preserve">I273890</t>
  </si>
  <si>
    <t xml:space="preserve">I774221</t>
  </si>
  <si>
    <t xml:space="preserve">I202171</t>
  </si>
  <si>
    <t xml:space="preserve">I219780</t>
  </si>
  <si>
    <t xml:space="preserve">I160221</t>
  </si>
  <si>
    <t xml:space="preserve">I106691</t>
  </si>
  <si>
    <t xml:space="preserve">I129886</t>
  </si>
  <si>
    <t xml:space="preserve">I745394</t>
  </si>
  <si>
    <t xml:space="preserve">I157056</t>
  </si>
  <si>
    <t xml:space="preserve">I304531</t>
  </si>
  <si>
    <t xml:space="preserve">I762439</t>
  </si>
  <si>
    <t xml:space="preserve">I300972</t>
  </si>
  <si>
    <t xml:space="preserve">I151588</t>
  </si>
  <si>
    <t xml:space="preserve">I657069</t>
  </si>
  <si>
    <t xml:space="preserve">I122655</t>
  </si>
  <si>
    <t xml:space="preserve">I236914</t>
  </si>
  <si>
    <t xml:space="preserve">I247471</t>
  </si>
  <si>
    <t xml:space="preserve">I362306</t>
  </si>
  <si>
    <t xml:space="preserve">I215279</t>
  </si>
  <si>
    <t xml:space="preserve">I216061</t>
  </si>
  <si>
    <t xml:space="preserve">I246375</t>
  </si>
  <si>
    <t xml:space="preserve">I103596</t>
  </si>
  <si>
    <t xml:space="preserve">I259878</t>
  </si>
  <si>
    <t xml:space="preserve">I206422</t>
  </si>
  <si>
    <t xml:space="preserve">I201704</t>
  </si>
  <si>
    <t xml:space="preserve">I168037</t>
  </si>
  <si>
    <t xml:space="preserve">I307534</t>
  </si>
  <si>
    <t xml:space="preserve">I259196</t>
  </si>
  <si>
    <t xml:space="preserve">I141241</t>
  </si>
  <si>
    <t xml:space="preserve">I289973</t>
  </si>
  <si>
    <t xml:space="preserve">I147203</t>
  </si>
  <si>
    <t xml:space="preserve">I323788</t>
  </si>
  <si>
    <t xml:space="preserve">I285454</t>
  </si>
  <si>
    <t xml:space="preserve">I288152</t>
  </si>
  <si>
    <t xml:space="preserve">I134126</t>
  </si>
  <si>
    <t xml:space="preserve">I311052</t>
  </si>
  <si>
    <t xml:space="preserve">I176469</t>
  </si>
  <si>
    <t xml:space="preserve">I167993</t>
  </si>
  <si>
    <t xml:space="preserve">I222086</t>
  </si>
  <si>
    <t xml:space="preserve">I164597</t>
  </si>
  <si>
    <t xml:space="preserve">I184307</t>
  </si>
  <si>
    <t xml:space="preserve">I289905</t>
  </si>
  <si>
    <t xml:space="preserve">I416544</t>
  </si>
  <si>
    <t xml:space="preserve">I601026</t>
  </si>
  <si>
    <t xml:space="preserve">I257890</t>
  </si>
  <si>
    <t xml:space="preserve">I260028</t>
  </si>
  <si>
    <t xml:space="preserve">I170160</t>
  </si>
  <si>
    <t xml:space="preserve">I624164</t>
  </si>
  <si>
    <t xml:space="preserve">I143353</t>
  </si>
  <si>
    <t xml:space="preserve">I278401</t>
  </si>
  <si>
    <t xml:space="preserve">I402966</t>
  </si>
  <si>
    <t xml:space="preserve">I244241</t>
  </si>
  <si>
    <t xml:space="preserve">I179048</t>
  </si>
  <si>
    <t xml:space="preserve">I165202</t>
  </si>
  <si>
    <t xml:space="preserve">I328321</t>
  </si>
  <si>
    <t xml:space="preserve">I417106</t>
  </si>
  <si>
    <t xml:space="preserve">I248153</t>
  </si>
  <si>
    <t xml:space="preserve">I112270</t>
  </si>
  <si>
    <t xml:space="preserve">I318831</t>
  </si>
  <si>
    <t xml:space="preserve">I258322</t>
  </si>
  <si>
    <t xml:space="preserve">I334246</t>
  </si>
  <si>
    <t xml:space="preserve">I198233</t>
  </si>
  <si>
    <t xml:space="preserve">I310819</t>
  </si>
  <si>
    <t xml:space="preserve">I409288</t>
  </si>
  <si>
    <t xml:space="preserve">I131054</t>
  </si>
  <si>
    <t xml:space="preserve">I149521</t>
  </si>
  <si>
    <t xml:space="preserve">I156233</t>
  </si>
  <si>
    <t xml:space="preserve">I295784</t>
  </si>
  <si>
    <t xml:space="preserve">I255381</t>
  </si>
  <si>
    <t xml:space="preserve">I337719</t>
  </si>
  <si>
    <t xml:space="preserve">I220863</t>
  </si>
  <si>
    <t xml:space="preserve">I530401</t>
  </si>
  <si>
    <t xml:space="preserve">I219555</t>
  </si>
  <si>
    <t xml:space="preserve">I316629</t>
  </si>
  <si>
    <t xml:space="preserve">I795251</t>
  </si>
  <si>
    <t xml:space="preserve">Student Results — 50 Students, 5 Subjects  |  Practice: Nested IF Grade Calculator</t>
  </si>
  <si>
    <t xml:space="preserve">Formulas to build → Total: =SUM(C:G)  |  Average: =ROUNDUP(AVERAGE(C:G),0)  |  Grade: =IF(H&gt;=90,"A++",IF(H&gt;=80,"A+",IF(H&gt;=70,"A",IF(H&gt;=60,"B+",IF(H&gt;=35,"B","F")))))  |  Result: =IF(I="F","Fail","Pass")</t>
  </si>
  <si>
    <t xml:space="preserve">SR.NO</t>
  </si>
  <si>
    <t xml:space="preserve">NAME</t>
  </si>
  <si>
    <t xml:space="preserve">ACCOUNTANCY</t>
  </si>
  <si>
    <t xml:space="preserve">ENGLISH</t>
  </si>
  <si>
    <t xml:space="preserve">MATHS</t>
  </si>
  <si>
    <t xml:space="preserve">ECONOMICS</t>
  </si>
  <si>
    <t xml:space="preserve">BIZ STUDIES</t>
  </si>
  <si>
    <t xml:space="preserve">TOTAL</t>
  </si>
  <si>
    <t xml:space="preserve">AVERAGE</t>
  </si>
  <si>
    <t xml:space="preserve">GRADE</t>
  </si>
  <si>
    <t xml:space="preserve">RESULT</t>
  </si>
  <si>
    <t xml:space="preserve">Nisha Bagga</t>
  </si>
  <si>
    <t xml:space="preserve">Anju Bhandari</t>
  </si>
  <si>
    <t xml:space="preserve">Karun</t>
  </si>
  <si>
    <t xml:space="preserve">Komal</t>
  </si>
  <si>
    <t xml:space="preserve">Raj Kumar</t>
  </si>
  <si>
    <t xml:space="preserve">Vicky Vishisht</t>
  </si>
  <si>
    <t xml:space="preserve">Nitesh</t>
  </si>
  <si>
    <t xml:space="preserve">Ashok Kumar</t>
  </si>
  <si>
    <t xml:space="preserve">Dimple Rajiwal</t>
  </si>
  <si>
    <t xml:space="preserve">Pooja</t>
  </si>
  <si>
    <t xml:space="preserve">Neelam</t>
  </si>
  <si>
    <t xml:space="preserve">Chanchal</t>
  </si>
  <si>
    <t xml:space="preserve">Amit</t>
  </si>
  <si>
    <t xml:space="preserve">Pooja Ghalawat</t>
  </si>
  <si>
    <t xml:space="preserve">Pankhuri</t>
  </si>
  <si>
    <t xml:space="preserve">Jhanvi Sehdev</t>
  </si>
  <si>
    <t xml:space="preserve">Vishav Sehajpal</t>
  </si>
  <si>
    <t xml:space="preserve">Manisha Grover</t>
  </si>
  <si>
    <t xml:space="preserve">Nancy</t>
  </si>
  <si>
    <t xml:space="preserve">Kusum Aggarwal</t>
  </si>
  <si>
    <t xml:space="preserve">Chhavi</t>
  </si>
  <si>
    <t xml:space="preserve">Khushboo Ayush Sharma</t>
  </si>
  <si>
    <t xml:space="preserve">Jyoti Soni</t>
  </si>
  <si>
    <t xml:space="preserve">Gokulesh Gupta</t>
  </si>
  <si>
    <t xml:space="preserve">Isha</t>
  </si>
  <si>
    <t xml:space="preserve">Bulbul Diwedi</t>
  </si>
  <si>
    <t xml:space="preserve">Bhawna</t>
  </si>
  <si>
    <t xml:space="preserve">Suman</t>
  </si>
  <si>
    <t xml:space="preserve">Jyoti Mainh</t>
  </si>
  <si>
    <t xml:space="preserve">Rachit Gambhir</t>
  </si>
  <si>
    <t xml:space="preserve">Akhilesh</t>
  </si>
  <si>
    <t xml:space="preserve">Kanan Mehta</t>
  </si>
  <si>
    <t xml:space="preserve">Balbir Gurjit</t>
  </si>
  <si>
    <t xml:space="preserve">Bablu</t>
  </si>
  <si>
    <t xml:space="preserve">Shubhra Prashar</t>
  </si>
  <si>
    <t xml:space="preserve">Rupesh</t>
  </si>
  <si>
    <t xml:space="preserve">Kavita</t>
  </si>
  <si>
    <t xml:space="preserve">Yogesh Sahgal</t>
  </si>
  <si>
    <t xml:space="preserve">Sharry Singh</t>
  </si>
  <si>
    <t xml:space="preserve">Raghuveer Tandon</t>
  </si>
  <si>
    <t xml:space="preserve">Gifty Verma</t>
  </si>
  <si>
    <t xml:space="preserve">Bal Mukand</t>
  </si>
  <si>
    <t xml:space="preserve">Deepak</t>
  </si>
  <si>
    <t xml:space="preserve">Subhash Bansal</t>
  </si>
  <si>
    <t xml:space="preserve">Chhaya Dadhwal</t>
  </si>
  <si>
    <t xml:space="preserve">Praveen</t>
  </si>
  <si>
    <t xml:space="preserve">Kasim Ansari</t>
  </si>
  <si>
    <t xml:space="preserve">Surinder Verma</t>
  </si>
  <si>
    <t xml:space="preserve">Shashi</t>
  </si>
  <si>
    <t xml:space="preserve">Dikshita Goel</t>
  </si>
  <si>
    <t xml:space="preserve">Products Dataset  —  Practice 1: SUM, COUNT, AVERAGE, MAX, MIN, VLOOKUP</t>
  </si>
  <si>
    <t xml:space="preserve"> SUM(C2:C6) total sold  |  AVERAGE(B2:B6) avg price  |  VLOOKUP(Mouse,$A$2:$B$6,2,FALSE)</t>
  </si>
  <si>
    <t xml:space="preserve">PRODUCT</t>
  </si>
  <si>
    <t xml:space="preserve">PRICE ($)</t>
  </si>
  <si>
    <t xml:space="preserve">QTY SOLD</t>
  </si>
  <si>
    <t xml:space="preserve">TOTAL SALES</t>
  </si>
  <si>
    <t xml:space="preserve">% OF SALES</t>
  </si>
  <si>
    <t xml:space="preserve">VLOOKUP DEMO</t>
  </si>
  <si>
    <t xml:space="preserve">Laptop</t>
  </si>
  <si>
    <t xml:space="preserve">Mouse</t>
  </si>
  <si>
    <t xml:space="preserve">Keyboard</t>
  </si>
  <si>
    <t xml:space="preserve">Monitor</t>
  </si>
  <si>
    <t xml:space="preserve">Printer</t>
  </si>
  <si>
    <t xml:space="preserve">Customer Data  —  Practice 2: Data Cleaning (Duplicates, TRIM, Text to Columns)</t>
  </si>
  <si>
    <t xml:space="preserve">Notice: duplicates (John Smith appears twice), blank email (NULL), blank Amount Spent  |  =TRIM(A2)  |  =PROPER(A2)  |  Data→Remove Duplicates</t>
  </si>
  <si>
    <t xml:space="preserve">CUSTOMER NAME</t>
  </si>
  <si>
    <t xml:space="preserve">LAST NAME</t>
  </si>
  <si>
    <t xml:space="preserve">EMAIL ADDRESS</t>
  </si>
  <si>
    <t xml:space="preserve">AMOUNT SPENT</t>
  </si>
  <si>
    <t xml:space="preserve">DATE</t>
  </si>
  <si>
    <t xml:space="preserve">ISSUE</t>
  </si>
  <si>
    <t xml:space="preserve">John Smith</t>
  </si>
  <si>
    <t xml:space="preserve">john@example.com</t>
  </si>
  <si>
    <t xml:space="preserve">2023-04-15</t>
  </si>
  <si>
    <t xml:space="preserve">Sarah Brown</t>
  </si>
  <si>
    <t xml:space="preserve">sarah@example.com</t>
  </si>
  <si>
    <t xml:space="preserve">2023-05-16</t>
  </si>
  <si>
    <t xml:space="preserve">john.smith@gmail.com</t>
  </si>
  <si>
    <t xml:space="preserve">2023-04-19</t>
  </si>
  <si>
    <t xml:space="preserve">DUPLICATE ⚠️</t>
  </si>
  <si>
    <t xml:space="preserve">Daniel</t>
  </si>
  <si>
    <t xml:space="preserve">Miller</t>
  </si>
  <si>
    <t xml:space="preserve">daniel@example.com</t>
  </si>
  <si>
    <t xml:space="preserve">2023-06-17</t>
  </si>
  <si>
    <t xml:space="preserve">Emily</t>
  </si>
  <si>
    <t xml:space="preserve">Johnson</t>
  </si>
  <si>
    <t xml:space="preserve">NULL</t>
  </si>
  <si>
    <t xml:space="preserve">2023-07-21</t>
  </si>
  <si>
    <t xml:space="preserve">NULL Email ⚠️</t>
  </si>
  <si>
    <t xml:space="preserve">Jessica</t>
  </si>
  <si>
    <t xml:space="preserve">Clark</t>
  </si>
  <si>
    <t xml:space="preserve">jessica@example.com</t>
  </si>
  <si>
    <t xml:space="preserve">2023-07-31</t>
  </si>
  <si>
    <t xml:space="preserve">Blank Amount ⚠️</t>
  </si>
  <si>
    <t xml:space="preserve">  Remove Duplicates</t>
  </si>
  <si>
    <t xml:space="preserve"> Data tab → Remove Duplicates → select Customer Name + Email</t>
  </si>
  <si>
    <t xml:space="preserve">  Fix Spaces</t>
  </si>
  <si>
    <t xml:space="preserve"> TRIM(A4)  then paste as Values over column A</t>
  </si>
  <si>
    <t xml:space="preserve">  Fix Capitalization</t>
  </si>
  <si>
    <t xml:space="preserve"> PROPER(A4)  then paste as Values</t>
  </si>
  <si>
    <t xml:space="preserve">  Handle NULL emails</t>
  </si>
  <si>
    <t xml:space="preserve"> IF(C4=NULL,empty,C4)</t>
  </si>
  <si>
    <t xml:space="preserve">  Fill blank amounts</t>
  </si>
  <si>
    <t xml:space="preserve"> Ctrl+G → Special → Blanks → type 0 → Ctrl+Enter</t>
  </si>
  <si>
    <t xml:space="preserve">VLOOKUP Practice  —  Fruit Price Lookup Table</t>
  </si>
  <si>
    <t xml:space="preserve">Syntax: =VLOOKUP(lookup_value, table_array, col_index, FALSE)   |   Rule: search column must ALWAYS be the FIRST column of the table range</t>
  </si>
  <si>
    <t xml:space="preserve">TYPE</t>
  </si>
  <si>
    <t xml:space="preserve">FIND PRICE FOR</t>
  </si>
  <si>
    <t xml:space="preserve">VLOOKUP FORMULA</t>
  </si>
  <si>
    <t xml:space="preserve">Fruit</t>
  </si>
  <si>
    <t xml:space="preserve">Apple</t>
  </si>
  <si>
    <t xml:space="preserve">Orange</t>
  </si>
  <si>
    <t xml:space="preserve">Banana</t>
  </si>
  <si>
    <t xml:space="preserve">Grapes</t>
  </si>
  <si>
    <t xml:space="preserve">Mango</t>
  </si>
  <si>
    <t xml:space="preserve">Pineapple</t>
  </si>
  <si>
    <t xml:space="preserve">Sort &amp; Filter Dataset  —  30 Rows  |  Practice: Sort by age, Filter by gender, Add Subtotals by mall</t>
  </si>
  <si>
    <t xml:space="preserve">Instructions: 1) Sort by Age A→Z   2) Filter → Gender = Female   3) Data → Subtotal → Group by shopping_mall → Sum price</t>
  </si>
  <si>
    <t xml:space="preserve">Text Functions  —  CONCAT, LEFT, RIGHT, MID, LEN, TRIM, UPPER, LOWER, PROPER</t>
  </si>
  <si>
    <t xml:space="preserve">CONCAT DEMO</t>
  </si>
  <si>
    <t xml:space="preserve">FIRST NAME</t>
  </si>
  <si>
    <t xml:space="preserve">USING &amp;</t>
  </si>
  <si>
    <t xml:space="preserve">USING CONCAT</t>
  </si>
  <si>
    <t xml:space="preserve">Alex</t>
  </si>
  <si>
    <t xml:space="preserve">Don</t>
  </si>
  <si>
    <t xml:space="preserve">Anita</t>
  </si>
  <si>
    <t xml:space="preserve">Beesly</t>
  </si>
  <si>
    <t xml:space="preserve">Poomathi</t>
  </si>
  <si>
    <t xml:space="preserve">Thangarasu</t>
  </si>
  <si>
    <t xml:space="preserve">Raj</t>
  </si>
  <si>
    <t xml:space="preserve">Kumar</t>
  </si>
  <si>
    <t xml:space="preserve">Priya</t>
  </si>
  <si>
    <t xml:space="preserve">Sharma</t>
  </si>
  <si>
    <t xml:space="preserve">Arun</t>
  </si>
  <si>
    <t xml:space="preserve">Krishnan</t>
  </si>
  <si>
    <t xml:space="preserve">EXTRACT DEMO</t>
  </si>
  <si>
    <t xml:space="preserve">ORIGINAL TEXT</t>
  </si>
  <si>
    <t xml:space="preserve">LEFT(5)</t>
  </si>
  <si>
    <t xml:space="preserve">RIGHT(5)</t>
  </si>
  <si>
    <t xml:space="preserve">MID(3,4)</t>
  </si>
  <si>
    <t xml:space="preserve">LEN</t>
  </si>
  <si>
    <t xml:space="preserve">TRIM</t>
  </si>
  <si>
    <t xml:space="preserve">LOWER</t>
  </si>
  <si>
    <t xml:space="preserve">UPPER</t>
  </si>
  <si>
    <t xml:space="preserve">Apple iPhone 12  </t>
  </si>
  <si>
    <t xml:space="preserve">Samsung Galaxy S21</t>
  </si>
  <si>
    <t xml:space="preserve">  Clothing  </t>
  </si>
  <si>
    <t xml:space="preserve">Dates &amp; Time  —  DAYS, TODAY, YEAR, MONTH, DAY, DATEDIF</t>
  </si>
  <si>
    <t xml:space="preserve">START DATE</t>
  </si>
  <si>
    <t xml:space="preserve">END DATE</t>
  </si>
  <si>
    <t xml:space="preserve">DAYS BETWEEN</t>
  </si>
  <si>
    <t xml:space="preserve">YEAR</t>
  </si>
  <si>
    <t xml:space="preserve">MONTH</t>
  </si>
  <si>
    <t xml:space="preserve">DAY</t>
  </si>
  <si>
    <t xml:space="preserve">DAYS FROM TODAY</t>
  </si>
  <si>
    <t xml:space="preserve">FUNCTION REFERENCE</t>
  </si>
  <si>
    <t xml:space="preserve"> TODAY()</t>
  </si>
  <si>
    <t xml:space="preserve">Returns today's date — updates automatically every day</t>
  </si>
  <si>
    <t xml:space="preserve"> NOW()</t>
  </si>
  <si>
    <t xml:space="preserve">Returns current date AND time</t>
  </si>
  <si>
    <t xml:space="preserve"> B2-A2 or DAYS(B2,A2)</t>
  </si>
  <si>
    <t xml:space="preserve">Number of days between two dates</t>
  </si>
  <si>
    <t xml:space="preserve"> YEAR(date)</t>
  </si>
  <si>
    <t xml:space="preserve">Extracts the year number from a date</t>
  </si>
  <si>
    <t xml:space="preserve"> MONTH(date)</t>
  </si>
  <si>
    <t xml:space="preserve">Extracts the month number 1 to 12</t>
  </si>
  <si>
    <t xml:space="preserve"> DAY(date)</t>
  </si>
  <si>
    <t xml:space="preserve">Extracts the day number 1 to 31</t>
  </si>
  <si>
    <t xml:space="preserve"> DATEDIF(start,end,Y)</t>
  </si>
  <si>
    <t xml:space="preserve">Complete years between dates — perfect for age</t>
  </si>
  <si>
    <t xml:space="preserve"> EOMONTH(date,0)</t>
  </si>
  <si>
    <t xml:space="preserve">Last day of the same month</t>
  </si>
  <si>
    <t xml:space="preserve">Subtotal Exercise  —  Group Sales by Region</t>
  </si>
  <si>
    <t xml:space="preserve">Steps: 1) Sort by Region A→Z first   2) Data → Subtotal → At each change in Region → Sum → Sales → OK</t>
  </si>
  <si>
    <t xml:space="preserve">REGION</t>
  </si>
  <si>
    <t xml:space="preserve">SALES ($)</t>
  </si>
  <si>
    <t xml:space="preserve">North</t>
  </si>
  <si>
    <t xml:space="preserve">South</t>
  </si>
  <si>
    <t xml:space="preserve">West</t>
  </si>
  <si>
    <t xml:space="preserve">East</t>
  </si>
  <si>
    <t xml:space="preserve">GRAND TOTAL</t>
  </si>
  <si>
    <t xml:space="preserve">SUBTOTAL FUNCTION CODES</t>
  </si>
  <si>
    <t xml:space="preserve">COUNT</t>
  </si>
  <si>
    <t xml:space="preserve">COUNTA</t>
  </si>
  <si>
    <t xml:space="preserve">SUM</t>
  </si>
  <si>
    <t xml:space="preserve">VAR</t>
  </si>
  <si>
    <t xml:space="preserve">VARP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</si>
</sst>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#,##0.00"/>
    <numFmt numFmtId="167" formatCode="dd\-mmm\-yyyy"/>
    <numFmt numFmtId="168" formatCode="General"/>
    <numFmt numFmtId="169" formatCode="\$#,##0.00"/>
    <numFmt numFmtId="170" formatCode="0.0%"/>
    <numFmt numFmtId="171" formatCode="mm/dd/yy"/>
    <numFmt numFmtId="172" formatCode="mm/dd/yy\ hh:mm\ AM/PM"/>
    <numFmt numFmtId="173" formatCode="\$#,##0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563EB"/>
      <name val="Arial"/>
      <family val="0"/>
      <charset val="1"/>
    </font>
    <font>
      <sz val="9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D97706"/>
      <name val="Arial"/>
      <family val="0"/>
      <charset val="1"/>
    </font>
    <font>
      <b val="true"/>
      <sz val="9"/>
      <color rgb="FF16A34A"/>
      <name val="Arial"/>
      <family val="0"/>
      <charset val="1"/>
    </font>
    <font>
      <sz val="9"/>
      <color rgb="FFD97706"/>
      <name val="Arial"/>
      <family val="0"/>
      <charset val="1"/>
    </font>
    <font>
      <b val="true"/>
      <sz val="9"/>
      <color rgb="FF1F2937"/>
      <name val="Arial"/>
      <family val="0"/>
      <charset val="1"/>
    </font>
    <font>
      <b val="true"/>
      <sz val="9"/>
      <color rgb="FF0D9488"/>
      <name val="Arial"/>
      <family val="0"/>
      <charset val="1"/>
    </font>
    <font>
      <b val="true"/>
      <sz val="9"/>
      <color rgb="FF7C3AED"/>
      <name val="Arial"/>
      <family val="0"/>
      <charset val="1"/>
    </font>
    <font>
      <b val="true"/>
      <sz val="9"/>
      <color rgb="FFE11D48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374151"/>
      <name val="Arial"/>
      <family val="0"/>
      <charset val="1"/>
    </font>
    <font>
      <b val="true"/>
      <sz val="9"/>
      <color rgb="FF1A3A5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FEF3C7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2563EB"/>
      <name val="Arial"/>
      <family val="0"/>
      <charset val="1"/>
    </font>
    <font>
      <sz val="10"/>
      <color rgb="FF0D9488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FFE4E6"/>
      <name val="Arial"/>
      <family val="0"/>
      <charset val="1"/>
    </font>
    <font>
      <b val="true"/>
      <sz val="10"/>
      <color rgb="FFE11D48"/>
      <name val="Arial"/>
      <family val="0"/>
      <charset val="1"/>
    </font>
    <font>
      <b val="true"/>
      <sz val="9"/>
      <color rgb="FFEA580C"/>
      <name val="Arial"/>
      <family val="0"/>
      <charset val="1"/>
    </font>
    <font>
      <i val="true"/>
      <sz val="9"/>
      <color rgb="FF374151"/>
      <name val="Arial"/>
      <family val="0"/>
      <charset val="1"/>
    </font>
    <font>
      <i val="true"/>
      <sz val="9"/>
      <color rgb="FFDCFCE7"/>
      <name val="Arial"/>
      <family val="0"/>
      <charset val="1"/>
    </font>
    <font>
      <i val="true"/>
      <sz val="9"/>
      <color rgb="FF2563EB"/>
      <name val="Arial"/>
      <family val="0"/>
      <charset val="1"/>
    </font>
    <font>
      <i val="true"/>
      <sz val="9"/>
      <color rgb="FFEDE9FE"/>
      <name val="Arial"/>
      <family val="0"/>
      <charset val="1"/>
    </font>
    <font>
      <sz val="10"/>
      <color rgb="FF2563EB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i val="true"/>
      <sz val="10"/>
      <color rgb="FF2563EB"/>
      <name val="Arial"/>
      <family val="0"/>
      <charset val="1"/>
    </font>
    <font>
      <sz val="10"/>
      <color rgb="FF374151"/>
      <name val="Arial"/>
      <family val="0"/>
      <charset val="1"/>
    </font>
    <font>
      <i val="true"/>
      <sz val="9"/>
      <color rgb="FFCCFBF1"/>
      <name val="Arial"/>
      <family val="0"/>
      <charset val="1"/>
    </font>
    <font>
      <b val="true"/>
      <sz val="10"/>
      <color rgb="FF0D9488"/>
      <name val="Arial"/>
      <family val="0"/>
      <charset val="1"/>
    </font>
    <font>
      <i val="true"/>
      <sz val="10"/>
      <color rgb="FF2563EB"/>
      <name val="Arial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1A3A5C"/>
        <bgColor rgb="FF1E3A5F"/>
      </patternFill>
    </fill>
    <fill>
      <patternFill patternType="solid">
        <fgColor rgb="FF2563EB"/>
        <bgColor rgb="FF0066CC"/>
      </patternFill>
    </fill>
    <fill>
      <patternFill patternType="solid">
        <fgColor rgb="FFF3F4F6"/>
        <bgColor rgb="FFF5F3FF"/>
      </patternFill>
    </fill>
    <fill>
      <patternFill patternType="solid">
        <fgColor rgb="FFFFFFFF"/>
        <bgColor rgb="FFF0FDF4"/>
      </patternFill>
    </fill>
    <fill>
      <patternFill patternType="solid">
        <fgColor rgb="FF1E3A5F"/>
        <bgColor rgb="FF1A3A5C"/>
      </patternFill>
    </fill>
    <fill>
      <patternFill patternType="solid">
        <fgColor rgb="FF0D9488"/>
        <bgColor rgb="FF16A34A"/>
      </patternFill>
    </fill>
    <fill>
      <patternFill patternType="solid">
        <fgColor rgb="FF16A34A"/>
        <bgColor rgb="FF0D9488"/>
      </patternFill>
    </fill>
    <fill>
      <patternFill patternType="solid">
        <fgColor rgb="FF7C3AED"/>
        <bgColor rgb="FF993366"/>
      </patternFill>
    </fill>
    <fill>
      <patternFill patternType="solid">
        <fgColor rgb="FFD97706"/>
        <bgColor rgb="FFEA580C"/>
      </patternFill>
    </fill>
    <fill>
      <patternFill patternType="solid">
        <fgColor rgb="FFEFF6FF"/>
        <bgColor rgb="FFF3F4F6"/>
      </patternFill>
    </fill>
    <fill>
      <patternFill patternType="solid">
        <fgColor rgb="FF134E4A"/>
        <bgColor rgb="FF14532D"/>
      </patternFill>
    </fill>
    <fill>
      <patternFill patternType="solid">
        <fgColor rgb="FFE11D48"/>
        <bgColor rgb="FF9F1239"/>
      </patternFill>
    </fill>
    <fill>
      <patternFill patternType="solid">
        <fgColor rgb="FFF0FDF4"/>
        <bgColor rgb="FFECFDF5"/>
      </patternFill>
    </fill>
    <fill>
      <patternFill patternType="solid">
        <fgColor rgb="FFECFDF5"/>
        <bgColor rgb="FFF0FDF4"/>
      </patternFill>
    </fill>
    <fill>
      <patternFill patternType="solid">
        <fgColor rgb="FFF5F3FF"/>
        <bgColor rgb="FFF3F4F6"/>
      </patternFill>
    </fill>
    <fill>
      <patternFill patternType="solid">
        <fgColor rgb="FFFFF1F2"/>
        <bgColor rgb="FFF3F4F6"/>
      </patternFill>
    </fill>
    <fill>
      <patternFill patternType="solid">
        <fgColor rgb="FF78350F"/>
        <bgColor rgb="FF993366"/>
      </patternFill>
    </fill>
    <fill>
      <patternFill patternType="solid">
        <fgColor rgb="FFFEF3C7"/>
        <bgColor rgb="FFFFEDD5"/>
      </patternFill>
    </fill>
    <fill>
      <patternFill patternType="solid">
        <fgColor rgb="FFEDE9FE"/>
        <bgColor rgb="FFF5F3FF"/>
      </patternFill>
    </fill>
    <fill>
      <patternFill patternType="solid">
        <fgColor rgb="FF9F1239"/>
        <bgColor rgb="FF800000"/>
      </patternFill>
    </fill>
    <fill>
      <patternFill patternType="solid">
        <fgColor rgb="FFFFE4E6"/>
        <bgColor rgb="FFFFEDD5"/>
      </patternFill>
    </fill>
    <fill>
      <patternFill patternType="solid">
        <fgColor rgb="FF14532D"/>
        <bgColor rgb="FF134E4A"/>
      </patternFill>
    </fill>
    <fill>
      <patternFill patternType="solid">
        <fgColor rgb="FFDCFCE7"/>
        <bgColor rgb="FFCCFBF1"/>
      </patternFill>
    </fill>
    <fill>
      <patternFill patternType="solid">
        <fgColor rgb="FF3B0764"/>
        <bgColor rgb="FF1F2937"/>
      </patternFill>
    </fill>
    <fill>
      <patternFill patternType="solid">
        <fgColor rgb="FFEA580C"/>
        <bgColor rgb="FFD97706"/>
      </patternFill>
    </fill>
    <fill>
      <patternFill patternType="solid">
        <fgColor rgb="FFFFEDD5"/>
        <bgColor rgb="FFFEF3C7"/>
      </patternFill>
    </fill>
    <fill>
      <patternFill patternType="solid">
        <fgColor rgb="FFCCFBF1"/>
        <bgColor rgb="FFDCF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5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5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2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5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5" fillId="2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6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2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40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5" fillId="2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3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44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4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4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11D48"/>
      <rgbColor rgb="FF00FF00"/>
      <rgbColor rgb="FF0000FF"/>
      <rgbColor rgb="FFF0FDF4"/>
      <rgbColor rgb="FFFF00FF"/>
      <rgbColor rgb="FF00FFFF"/>
      <rgbColor rgb="FF9F1239"/>
      <rgbColor rgb="FF008000"/>
      <rgbColor rgb="FF000080"/>
      <rgbColor rgb="FF808000"/>
      <rgbColor rgb="FF800080"/>
      <rgbColor rgb="FF0D9488"/>
      <rgbColor rgb="FFEDE9FE"/>
      <rgbColor rgb="FF808080"/>
      <rgbColor rgb="FF9999FF"/>
      <rgbColor rgb="FF7C3AED"/>
      <rgbColor rgb="FFFEF3C7"/>
      <rgbColor rgb="FFCCFBF1"/>
      <rgbColor rgb="FF3B0764"/>
      <rgbColor rgb="FFFF8080"/>
      <rgbColor rgb="FF0066CC"/>
      <rgbColor rgb="FFD1D5DB"/>
      <rgbColor rgb="FF000080"/>
      <rgbColor rgb="FFFF00FF"/>
      <rgbColor rgb="FFF3F4F6"/>
      <rgbColor rgb="FF00FFFF"/>
      <rgbColor rgb="FF800080"/>
      <rgbColor rgb="FF800000"/>
      <rgbColor rgb="FF134E4A"/>
      <rgbColor rgb="FF0000FF"/>
      <rgbColor rgb="FF00CCFF"/>
      <rgbColor rgb="FFDCFCE7"/>
      <rgbColor rgb="FFECFDF5"/>
      <rgbColor rgb="FFFFEDD5"/>
      <rgbColor rgb="FFEFF6FF"/>
      <rgbColor rgb="FFFFF1F2"/>
      <rgbColor rgb="FFF5F3FF"/>
      <rgbColor rgb="FFFFE4E6"/>
      <rgbColor rgb="FF2563EB"/>
      <rgbColor rgb="FF33CCCC"/>
      <rgbColor rgb="FF99CC00"/>
      <rgbColor rgb="FFFFCC00"/>
      <rgbColor rgb="FFD97706"/>
      <rgbColor rgb="FFEA580C"/>
      <rgbColor rgb="FF6B7280"/>
      <rgbColor rgb="FF94A3B8"/>
      <rgbColor rgb="FF1A3A5C"/>
      <rgbColor rgb="FF16A34A"/>
      <rgbColor rgb="FF14532D"/>
      <rgbColor rgb="FF374151"/>
      <rgbColor rgb="FF78350F"/>
      <rgbColor rgb="FF993366"/>
      <rgbColor rgb="FF1E3A5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5" min="4" style="1" width="30"/>
    <col collapsed="false" customWidth="true" hidden="false" outlineLevel="0" max="6" min="6" style="1" width="38"/>
    <col collapsed="false" customWidth="true" hidden="false" outlineLevel="0" max="8" min="7" style="1" width="4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7.5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8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.75" hidden="false" customHeight="true" outlineLevel="0" collapsed="false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8" t="s">
        <v>14</v>
      </c>
    </row>
    <row r="7" customFormat="false" ht="15.75" hidden="false" customHeight="true" outlineLevel="0" collapsed="false">
      <c r="A7" s="9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1" t="s">
        <v>20</v>
      </c>
    </row>
    <row r="8" customFormat="false" ht="15.75" hidden="false" customHeight="true" outlineLevel="0" collapsed="false">
      <c r="A8" s="6" t="s">
        <v>21</v>
      </c>
      <c r="B8" s="7" t="s">
        <v>22</v>
      </c>
      <c r="C8" s="7" t="s">
        <v>23</v>
      </c>
      <c r="D8" s="7" t="s">
        <v>24</v>
      </c>
      <c r="E8" s="7" t="s">
        <v>25</v>
      </c>
      <c r="F8" s="8" t="s">
        <v>26</v>
      </c>
    </row>
    <row r="9" customFormat="false" ht="15.75" hidden="false" customHeight="true" outlineLevel="0" collapsed="false">
      <c r="A9" s="9" t="s">
        <v>27</v>
      </c>
      <c r="B9" s="10" t="s">
        <v>28</v>
      </c>
      <c r="C9" s="10" t="s">
        <v>29</v>
      </c>
      <c r="D9" s="10" t="s">
        <v>30</v>
      </c>
      <c r="E9" s="10" t="s">
        <v>31</v>
      </c>
      <c r="F9" s="11" t="s">
        <v>32</v>
      </c>
    </row>
    <row r="10" customFormat="false" ht="15.75" hidden="false" customHeight="true" outlineLevel="0" collapsed="false">
      <c r="A10" s="6" t="s">
        <v>33</v>
      </c>
      <c r="B10" s="7" t="s">
        <v>34</v>
      </c>
      <c r="C10" s="7" t="s">
        <v>23</v>
      </c>
      <c r="D10" s="7" t="s">
        <v>35</v>
      </c>
      <c r="E10" s="7" t="s">
        <v>36</v>
      </c>
      <c r="F10" s="8" t="s">
        <v>37</v>
      </c>
    </row>
    <row r="11" customFormat="false" ht="15.75" hidden="false" customHeight="true" outlineLevel="0" collapsed="false">
      <c r="A11" s="9" t="s">
        <v>38</v>
      </c>
      <c r="B11" s="10" t="s">
        <v>39</v>
      </c>
      <c r="C11" s="10" t="s">
        <v>40</v>
      </c>
      <c r="D11" s="10" t="s">
        <v>41</v>
      </c>
      <c r="E11" s="10" t="s">
        <v>42</v>
      </c>
      <c r="F11" s="11" t="s">
        <v>43</v>
      </c>
    </row>
    <row r="12" customFormat="false" ht="15.75" hidden="false" customHeight="true" outlineLevel="0" collapsed="false">
      <c r="A12" s="6" t="s">
        <v>44</v>
      </c>
      <c r="B12" s="7" t="s">
        <v>45</v>
      </c>
      <c r="C12" s="7" t="s">
        <v>46</v>
      </c>
      <c r="D12" s="7" t="s">
        <v>47</v>
      </c>
      <c r="E12" s="7" t="s">
        <v>48</v>
      </c>
      <c r="F12" s="8" t="s">
        <v>49</v>
      </c>
    </row>
    <row r="13" customFormat="false" ht="15.75" hidden="false" customHeight="true" outlineLevel="0" collapsed="false">
      <c r="A13" s="9" t="s">
        <v>50</v>
      </c>
      <c r="B13" s="10" t="s">
        <v>51</v>
      </c>
      <c r="C13" s="10" t="s">
        <v>52</v>
      </c>
      <c r="D13" s="10" t="s">
        <v>53</v>
      </c>
      <c r="E13" s="10" t="s">
        <v>54</v>
      </c>
      <c r="F13" s="11" t="s">
        <v>55</v>
      </c>
    </row>
    <row r="14" customFormat="false" ht="15.75" hidden="false" customHeight="true" outlineLevel="0" collapsed="false">
      <c r="A14" s="6" t="s">
        <v>56</v>
      </c>
      <c r="B14" s="7" t="s">
        <v>57</v>
      </c>
      <c r="C14" s="7" t="s">
        <v>58</v>
      </c>
      <c r="D14" s="7" t="s">
        <v>59</v>
      </c>
      <c r="E14" s="7" t="s">
        <v>60</v>
      </c>
      <c r="F14" s="8" t="s">
        <v>61</v>
      </c>
    </row>
  </sheetData>
  <mergeCells count="3">
    <mergeCell ref="A1:H1"/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3" min="3" style="1" width="7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2"/>
    <col collapsed="false" customWidth="true" hidden="false" outlineLevel="0" max="12" min="11" style="1" width="16"/>
  </cols>
  <sheetData>
    <row r="1" customFormat="false" ht="31.5" hidden="false" customHeight="true" outlineLevel="0" collapsed="false">
      <c r="A1" s="12" t="s">
        <v>62</v>
      </c>
      <c r="B1" s="12"/>
      <c r="C1" s="12"/>
      <c r="D1" s="12"/>
      <c r="E1" s="12"/>
      <c r="F1" s="12"/>
      <c r="G1" s="12"/>
      <c r="H1" s="12"/>
      <c r="I1" s="12"/>
    </row>
    <row r="2" customFormat="false" ht="15.75" hidden="false" customHeight="true" outlineLevel="0" collapsed="false">
      <c r="A2" s="13" t="s">
        <v>63</v>
      </c>
      <c r="B2" s="13"/>
      <c r="C2" s="13"/>
      <c r="D2" s="13"/>
      <c r="E2" s="13"/>
      <c r="F2" s="13"/>
      <c r="G2" s="13"/>
      <c r="H2" s="13"/>
      <c r="I2" s="13"/>
    </row>
    <row r="3" customFormat="false" ht="19.5" hidden="false" customHeight="true" outlineLevel="0" collapsed="false">
      <c r="A3" s="5" t="s">
        <v>64</v>
      </c>
      <c r="B3" s="14" t="s">
        <v>65</v>
      </c>
      <c r="C3" s="14" t="s">
        <v>66</v>
      </c>
      <c r="D3" s="15" t="s">
        <v>67</v>
      </c>
      <c r="E3" s="14" t="s">
        <v>68</v>
      </c>
      <c r="F3" s="15" t="s">
        <v>69</v>
      </c>
      <c r="G3" s="16" t="s">
        <v>70</v>
      </c>
      <c r="H3" s="17" t="s">
        <v>71</v>
      </c>
      <c r="I3" s="5" t="s">
        <v>72</v>
      </c>
      <c r="K3" s="18" t="s">
        <v>73</v>
      </c>
      <c r="L3" s="18"/>
    </row>
    <row r="4" customFormat="false" ht="15.75" hidden="false" customHeight="true" outlineLevel="0" collapsed="false">
      <c r="A4" s="19" t="s">
        <v>74</v>
      </c>
      <c r="B4" s="20" t="s">
        <v>75</v>
      </c>
      <c r="C4" s="21" t="n">
        <v>28</v>
      </c>
      <c r="D4" s="20" t="s">
        <v>76</v>
      </c>
      <c r="E4" s="22" t="n">
        <v>5</v>
      </c>
      <c r="F4" s="23" t="n">
        <v>1500.4</v>
      </c>
      <c r="G4" s="20" t="s">
        <v>77</v>
      </c>
      <c r="H4" s="24" t="n">
        <v>44778</v>
      </c>
      <c r="I4" s="20" t="s">
        <v>78</v>
      </c>
      <c r="K4" s="25" t="s">
        <v>79</v>
      </c>
      <c r="L4" s="26" t="n">
        <f aca="false">SUM(F4:F203)</f>
        <v>136706.65</v>
      </c>
    </row>
    <row r="5" customFormat="false" ht="15.75" hidden="false" customHeight="true" outlineLevel="0" collapsed="false">
      <c r="A5" s="9" t="s">
        <v>80</v>
      </c>
      <c r="B5" s="10" t="s">
        <v>81</v>
      </c>
      <c r="C5" s="27" t="n">
        <v>21</v>
      </c>
      <c r="D5" s="10" t="s">
        <v>82</v>
      </c>
      <c r="E5" s="28" t="n">
        <v>3</v>
      </c>
      <c r="F5" s="29" t="n">
        <v>1800.51</v>
      </c>
      <c r="G5" s="10" t="s">
        <v>83</v>
      </c>
      <c r="H5" s="30" t="n">
        <v>44542</v>
      </c>
      <c r="I5" s="10" t="s">
        <v>84</v>
      </c>
      <c r="K5" s="31" t="s">
        <v>85</v>
      </c>
      <c r="L5" s="32" t="n">
        <f aca="false">AVERAGE(F4:F203)</f>
        <v>683.53325</v>
      </c>
    </row>
    <row r="6" customFormat="false" ht="15.75" hidden="false" customHeight="true" outlineLevel="0" collapsed="false">
      <c r="A6" s="19" t="s">
        <v>86</v>
      </c>
      <c r="B6" s="20" t="s">
        <v>81</v>
      </c>
      <c r="C6" s="21" t="n">
        <v>20</v>
      </c>
      <c r="D6" s="20" t="s">
        <v>76</v>
      </c>
      <c r="E6" s="22" t="n">
        <v>1</v>
      </c>
      <c r="F6" s="23" t="n">
        <v>300.08</v>
      </c>
      <c r="G6" s="20" t="s">
        <v>87</v>
      </c>
      <c r="H6" s="24" t="n">
        <v>44509</v>
      </c>
      <c r="I6" s="20" t="s">
        <v>88</v>
      </c>
      <c r="K6" s="25" t="s">
        <v>89</v>
      </c>
      <c r="L6" s="33" t="n">
        <f aca="false">MAX(F4:F203)</f>
        <v>5250</v>
      </c>
    </row>
    <row r="7" customFormat="false" ht="15.75" hidden="false" customHeight="true" outlineLevel="0" collapsed="false">
      <c r="A7" s="9" t="s">
        <v>90</v>
      </c>
      <c r="B7" s="10" t="s">
        <v>75</v>
      </c>
      <c r="C7" s="27" t="n">
        <v>66</v>
      </c>
      <c r="D7" s="10" t="s">
        <v>82</v>
      </c>
      <c r="E7" s="28" t="n">
        <v>5</v>
      </c>
      <c r="F7" s="29" t="n">
        <v>3000.85</v>
      </c>
      <c r="G7" s="10" t="s">
        <v>77</v>
      </c>
      <c r="H7" s="30" t="n">
        <v>44332</v>
      </c>
      <c r="I7" s="10" t="s">
        <v>91</v>
      </c>
      <c r="K7" s="31" t="s">
        <v>92</v>
      </c>
      <c r="L7" s="34" t="n">
        <f aca="false">MIN(F4:F203)</f>
        <v>5.23</v>
      </c>
    </row>
    <row r="8" customFormat="false" ht="15.75" hidden="false" customHeight="true" outlineLevel="0" collapsed="false">
      <c r="A8" s="19" t="s">
        <v>93</v>
      </c>
      <c r="B8" s="20" t="s">
        <v>75</v>
      </c>
      <c r="C8" s="21" t="n">
        <v>53</v>
      </c>
      <c r="D8" s="20" t="s">
        <v>94</v>
      </c>
      <c r="E8" s="22" t="n">
        <v>4</v>
      </c>
      <c r="F8" s="23" t="n">
        <v>60.6</v>
      </c>
      <c r="G8" s="20" t="s">
        <v>87</v>
      </c>
      <c r="H8" s="24" t="n">
        <v>44493</v>
      </c>
      <c r="I8" s="20" t="s">
        <v>78</v>
      </c>
      <c r="K8" s="25" t="s">
        <v>95</v>
      </c>
      <c r="L8" s="35" t="n">
        <f aca="false">COUNTA(A4:A203)</f>
        <v>200</v>
      </c>
    </row>
    <row r="9" customFormat="false" ht="15.75" hidden="false" customHeight="true" outlineLevel="0" collapsed="false">
      <c r="A9" s="9" t="s">
        <v>96</v>
      </c>
      <c r="B9" s="10" t="s">
        <v>75</v>
      </c>
      <c r="C9" s="27" t="n">
        <v>28</v>
      </c>
      <c r="D9" s="10" t="s">
        <v>76</v>
      </c>
      <c r="E9" s="28" t="n">
        <v>5</v>
      </c>
      <c r="F9" s="29" t="n">
        <v>1500.4</v>
      </c>
      <c r="G9" s="10" t="s">
        <v>77</v>
      </c>
      <c r="H9" s="30" t="n">
        <v>44705</v>
      </c>
      <c r="I9" s="10" t="s">
        <v>84</v>
      </c>
      <c r="K9" s="31" t="s">
        <v>97</v>
      </c>
      <c r="L9" s="36" t="n">
        <f aca="false">COUNTIF(B4:B203,"Female")</f>
        <v>123</v>
      </c>
    </row>
    <row r="10" customFormat="false" ht="15.75" hidden="false" customHeight="true" outlineLevel="0" collapsed="false">
      <c r="A10" s="19" t="s">
        <v>98</v>
      </c>
      <c r="B10" s="20" t="s">
        <v>75</v>
      </c>
      <c r="C10" s="21" t="n">
        <v>49</v>
      </c>
      <c r="D10" s="20" t="s">
        <v>99</v>
      </c>
      <c r="E10" s="22" t="n">
        <v>1</v>
      </c>
      <c r="F10" s="23" t="n">
        <v>40.66</v>
      </c>
      <c r="G10" s="20" t="s">
        <v>87</v>
      </c>
      <c r="H10" s="24" t="n">
        <v>44633</v>
      </c>
      <c r="I10" s="20" t="s">
        <v>100</v>
      </c>
      <c r="K10" s="25" t="s">
        <v>101</v>
      </c>
      <c r="L10" s="37" t="n">
        <f aca="false">COUNTIF(B4:B203,"Male")</f>
        <v>77</v>
      </c>
    </row>
    <row r="11" customFormat="false" ht="15.75" hidden="false" customHeight="true" outlineLevel="0" collapsed="false">
      <c r="A11" s="9" t="s">
        <v>102</v>
      </c>
      <c r="B11" s="10" t="s">
        <v>75</v>
      </c>
      <c r="C11" s="27" t="n">
        <v>32</v>
      </c>
      <c r="D11" s="10" t="s">
        <v>76</v>
      </c>
      <c r="E11" s="28" t="n">
        <v>2</v>
      </c>
      <c r="F11" s="29" t="n">
        <v>600.16</v>
      </c>
      <c r="G11" s="10" t="s">
        <v>77</v>
      </c>
      <c r="H11" s="30" t="n">
        <v>44209</v>
      </c>
      <c r="I11" s="10" t="s">
        <v>103</v>
      </c>
      <c r="K11" s="31" t="s">
        <v>77</v>
      </c>
      <c r="L11" s="38" t="n">
        <f aca="false">COUNTIF(G4:G203,"Credit Card")</f>
        <v>68</v>
      </c>
    </row>
    <row r="12" customFormat="false" ht="15.75" hidden="false" customHeight="true" outlineLevel="0" collapsed="false">
      <c r="A12" s="19" t="s">
        <v>104</v>
      </c>
      <c r="B12" s="20" t="s">
        <v>81</v>
      </c>
      <c r="C12" s="21" t="n">
        <v>69</v>
      </c>
      <c r="D12" s="20" t="s">
        <v>76</v>
      </c>
      <c r="E12" s="22" t="n">
        <v>3</v>
      </c>
      <c r="F12" s="23" t="n">
        <v>900.24</v>
      </c>
      <c r="G12" s="20" t="s">
        <v>77</v>
      </c>
      <c r="H12" s="24" t="n">
        <v>44504</v>
      </c>
      <c r="I12" s="20" t="s">
        <v>88</v>
      </c>
      <c r="K12" s="25" t="s">
        <v>105</v>
      </c>
      <c r="L12" s="26" t="n">
        <f aca="false">SUMIF(D4:D203,"Clothing",F4:F203)</f>
        <v>60616.16</v>
      </c>
    </row>
    <row r="13" customFormat="false" ht="15.75" hidden="false" customHeight="true" outlineLevel="0" collapsed="false">
      <c r="A13" s="9" t="s">
        <v>106</v>
      </c>
      <c r="B13" s="10" t="s">
        <v>75</v>
      </c>
      <c r="C13" s="27" t="n">
        <v>60</v>
      </c>
      <c r="D13" s="10" t="s">
        <v>76</v>
      </c>
      <c r="E13" s="28" t="n">
        <v>2</v>
      </c>
      <c r="F13" s="29" t="n">
        <v>600.16</v>
      </c>
      <c r="G13" s="10" t="s">
        <v>77</v>
      </c>
      <c r="H13" s="30" t="n">
        <v>44430</v>
      </c>
      <c r="I13" s="10" t="s">
        <v>78</v>
      </c>
      <c r="K13" s="31" t="s">
        <v>107</v>
      </c>
      <c r="L13" s="29" t="n">
        <f aca="false">SUMIF(D4:D203,"Shoes",F4:F203)</f>
        <v>35410.03</v>
      </c>
    </row>
    <row r="14" customFormat="false" ht="15" hidden="false" customHeight="true" outlineLevel="0" collapsed="false">
      <c r="A14" s="19" t="s">
        <v>108</v>
      </c>
      <c r="B14" s="20" t="s">
        <v>75</v>
      </c>
      <c r="C14" s="21" t="n">
        <v>36</v>
      </c>
      <c r="D14" s="20" t="s">
        <v>109</v>
      </c>
      <c r="E14" s="22" t="n">
        <v>2</v>
      </c>
      <c r="F14" s="23" t="n">
        <v>10.46</v>
      </c>
      <c r="G14" s="20" t="s">
        <v>87</v>
      </c>
      <c r="H14" s="24" t="n">
        <v>44920</v>
      </c>
      <c r="I14" s="20" t="s">
        <v>88</v>
      </c>
    </row>
    <row r="15" customFormat="false" ht="15" hidden="false" customHeight="true" outlineLevel="0" collapsed="false">
      <c r="A15" s="9" t="s">
        <v>110</v>
      </c>
      <c r="B15" s="10" t="s">
        <v>75</v>
      </c>
      <c r="C15" s="27" t="n">
        <v>29</v>
      </c>
      <c r="D15" s="10" t="s">
        <v>94</v>
      </c>
      <c r="E15" s="28" t="n">
        <v>1</v>
      </c>
      <c r="F15" s="29" t="n">
        <v>15.15</v>
      </c>
      <c r="G15" s="10" t="s">
        <v>77</v>
      </c>
      <c r="H15" s="30" t="n">
        <v>44862</v>
      </c>
      <c r="I15" s="10" t="s">
        <v>111</v>
      </c>
    </row>
    <row r="16" customFormat="false" ht="15" hidden="false" customHeight="true" outlineLevel="0" collapsed="false">
      <c r="A16" s="19" t="s">
        <v>112</v>
      </c>
      <c r="B16" s="20" t="s">
        <v>75</v>
      </c>
      <c r="C16" s="21" t="n">
        <v>67</v>
      </c>
      <c r="D16" s="20" t="s">
        <v>113</v>
      </c>
      <c r="E16" s="22" t="n">
        <v>4</v>
      </c>
      <c r="F16" s="23" t="n">
        <v>143.36</v>
      </c>
      <c r="G16" s="20" t="s">
        <v>83</v>
      </c>
      <c r="H16" s="24" t="n">
        <v>44773</v>
      </c>
      <c r="I16" s="20" t="s">
        <v>88</v>
      </c>
    </row>
    <row r="17" customFormat="false" ht="15" hidden="false" customHeight="true" outlineLevel="0" collapsed="false">
      <c r="A17" s="9" t="s">
        <v>114</v>
      </c>
      <c r="B17" s="10" t="s">
        <v>81</v>
      </c>
      <c r="C17" s="27" t="n">
        <v>25</v>
      </c>
      <c r="D17" s="10" t="s">
        <v>76</v>
      </c>
      <c r="E17" s="28" t="n">
        <v>2</v>
      </c>
      <c r="F17" s="29" t="n">
        <v>600.16</v>
      </c>
      <c r="G17" s="10" t="s">
        <v>87</v>
      </c>
      <c r="H17" s="30" t="n">
        <v>44882</v>
      </c>
      <c r="I17" s="10" t="s">
        <v>115</v>
      </c>
    </row>
    <row r="18" customFormat="false" ht="15" hidden="false" customHeight="true" outlineLevel="0" collapsed="false">
      <c r="A18" s="19" t="s">
        <v>116</v>
      </c>
      <c r="B18" s="20" t="s">
        <v>75</v>
      </c>
      <c r="C18" s="21" t="n">
        <v>67</v>
      </c>
      <c r="D18" s="20" t="s">
        <v>76</v>
      </c>
      <c r="E18" s="22" t="n">
        <v>2</v>
      </c>
      <c r="F18" s="23" t="n">
        <v>600.16</v>
      </c>
      <c r="G18" s="20" t="s">
        <v>77</v>
      </c>
      <c r="H18" s="24" t="n">
        <v>44715</v>
      </c>
      <c r="I18" s="20" t="s">
        <v>78</v>
      </c>
    </row>
    <row r="19" customFormat="false" ht="15" hidden="false" customHeight="true" outlineLevel="0" collapsed="false">
      <c r="A19" s="9" t="s">
        <v>117</v>
      </c>
      <c r="B19" s="10" t="s">
        <v>81</v>
      </c>
      <c r="C19" s="27" t="n">
        <v>24</v>
      </c>
      <c r="D19" s="10" t="s">
        <v>82</v>
      </c>
      <c r="E19" s="28" t="n">
        <v>5</v>
      </c>
      <c r="F19" s="29" t="n">
        <v>3000.85</v>
      </c>
      <c r="G19" s="10" t="s">
        <v>77</v>
      </c>
      <c r="H19" s="30" t="n">
        <v>44507</v>
      </c>
      <c r="I19" s="10" t="s">
        <v>118</v>
      </c>
    </row>
    <row r="20" customFormat="false" ht="15" hidden="false" customHeight="true" outlineLevel="0" collapsed="false">
      <c r="A20" s="19" t="s">
        <v>119</v>
      </c>
      <c r="B20" s="20" t="s">
        <v>81</v>
      </c>
      <c r="C20" s="21" t="n">
        <v>65</v>
      </c>
      <c r="D20" s="20" t="s">
        <v>94</v>
      </c>
      <c r="E20" s="22" t="n">
        <v>2</v>
      </c>
      <c r="F20" s="23" t="n">
        <v>30.3</v>
      </c>
      <c r="G20" s="20" t="s">
        <v>83</v>
      </c>
      <c r="H20" s="24" t="n">
        <v>44212</v>
      </c>
      <c r="I20" s="20" t="s">
        <v>88</v>
      </c>
    </row>
    <row r="21" customFormat="false" ht="15" hidden="false" customHeight="true" outlineLevel="0" collapsed="false">
      <c r="A21" s="9" t="s">
        <v>120</v>
      </c>
      <c r="B21" s="10" t="s">
        <v>75</v>
      </c>
      <c r="C21" s="27" t="n">
        <v>42</v>
      </c>
      <c r="D21" s="10" t="s">
        <v>109</v>
      </c>
      <c r="E21" s="28" t="n">
        <v>3</v>
      </c>
      <c r="F21" s="29" t="n">
        <v>15.69</v>
      </c>
      <c r="G21" s="10" t="s">
        <v>77</v>
      </c>
      <c r="H21" s="30" t="n">
        <v>44566</v>
      </c>
      <c r="I21" s="10" t="s">
        <v>121</v>
      </c>
    </row>
    <row r="22" customFormat="false" ht="15" hidden="false" customHeight="true" outlineLevel="0" collapsed="false">
      <c r="A22" s="19" t="s">
        <v>122</v>
      </c>
      <c r="B22" s="20" t="s">
        <v>75</v>
      </c>
      <c r="C22" s="21" t="n">
        <v>46</v>
      </c>
      <c r="D22" s="20" t="s">
        <v>76</v>
      </c>
      <c r="E22" s="22" t="n">
        <v>2</v>
      </c>
      <c r="F22" s="23" t="n">
        <v>600.16</v>
      </c>
      <c r="G22" s="20" t="s">
        <v>87</v>
      </c>
      <c r="H22" s="24" t="n">
        <v>44403</v>
      </c>
      <c r="I22" s="20" t="s">
        <v>91</v>
      </c>
    </row>
    <row r="23" customFormat="false" ht="15" hidden="false" customHeight="true" outlineLevel="0" collapsed="false">
      <c r="A23" s="9" t="s">
        <v>123</v>
      </c>
      <c r="B23" s="10" t="s">
        <v>81</v>
      </c>
      <c r="C23" s="27" t="n">
        <v>24</v>
      </c>
      <c r="D23" s="10" t="s">
        <v>113</v>
      </c>
      <c r="E23" s="28" t="n">
        <v>4</v>
      </c>
      <c r="F23" s="29" t="n">
        <v>143.36</v>
      </c>
      <c r="G23" s="10" t="s">
        <v>87</v>
      </c>
      <c r="H23" s="30" t="n">
        <v>44992</v>
      </c>
      <c r="I23" s="10" t="s">
        <v>115</v>
      </c>
    </row>
    <row r="24" customFormat="false" ht="15" hidden="false" customHeight="true" outlineLevel="0" collapsed="false">
      <c r="A24" s="19" t="s">
        <v>124</v>
      </c>
      <c r="B24" s="20" t="s">
        <v>81</v>
      </c>
      <c r="C24" s="21" t="n">
        <v>23</v>
      </c>
      <c r="D24" s="20" t="s">
        <v>76</v>
      </c>
      <c r="E24" s="22" t="n">
        <v>1</v>
      </c>
      <c r="F24" s="23" t="n">
        <v>300.08</v>
      </c>
      <c r="G24" s="20" t="s">
        <v>77</v>
      </c>
      <c r="H24" s="24" t="n">
        <v>44972</v>
      </c>
      <c r="I24" s="20" t="s">
        <v>111</v>
      </c>
    </row>
    <row r="25" customFormat="false" ht="15" hidden="false" customHeight="true" outlineLevel="0" collapsed="false">
      <c r="A25" s="9" t="s">
        <v>125</v>
      </c>
      <c r="B25" s="10" t="s">
        <v>75</v>
      </c>
      <c r="C25" s="27" t="n">
        <v>27</v>
      </c>
      <c r="D25" s="10" t="s">
        <v>109</v>
      </c>
      <c r="E25" s="28" t="n">
        <v>1</v>
      </c>
      <c r="F25" s="29" t="n">
        <v>5.23</v>
      </c>
      <c r="G25" s="10" t="s">
        <v>87</v>
      </c>
      <c r="H25" s="30" t="n">
        <v>44317</v>
      </c>
      <c r="I25" s="10" t="s">
        <v>115</v>
      </c>
    </row>
    <row r="26" customFormat="false" ht="15" hidden="false" customHeight="true" outlineLevel="0" collapsed="false">
      <c r="A26" s="19" t="s">
        <v>126</v>
      </c>
      <c r="B26" s="20" t="s">
        <v>81</v>
      </c>
      <c r="C26" s="21" t="n">
        <v>52</v>
      </c>
      <c r="D26" s="20" t="s">
        <v>76</v>
      </c>
      <c r="E26" s="22" t="n">
        <v>2</v>
      </c>
      <c r="F26" s="23" t="n">
        <v>600.16</v>
      </c>
      <c r="G26" s="20" t="s">
        <v>77</v>
      </c>
      <c r="H26" s="24" t="n">
        <v>44730</v>
      </c>
      <c r="I26" s="20" t="s">
        <v>115</v>
      </c>
    </row>
    <row r="27" customFormat="false" ht="15" hidden="false" customHeight="true" outlineLevel="0" collapsed="false">
      <c r="A27" s="9" t="s">
        <v>127</v>
      </c>
      <c r="B27" s="10" t="s">
        <v>81</v>
      </c>
      <c r="C27" s="27" t="n">
        <v>44</v>
      </c>
      <c r="D27" s="10" t="s">
        <v>128</v>
      </c>
      <c r="E27" s="28" t="n">
        <v>5</v>
      </c>
      <c r="F27" s="29" t="n">
        <v>5250</v>
      </c>
      <c r="G27" s="10" t="s">
        <v>87</v>
      </c>
      <c r="H27" s="30" t="n">
        <v>44495</v>
      </c>
      <c r="I27" s="10" t="s">
        <v>78</v>
      </c>
    </row>
    <row r="28" customFormat="false" ht="15" hidden="false" customHeight="true" outlineLevel="0" collapsed="false">
      <c r="A28" s="19" t="s">
        <v>129</v>
      </c>
      <c r="B28" s="20" t="s">
        <v>75</v>
      </c>
      <c r="C28" s="21" t="n">
        <v>42</v>
      </c>
      <c r="D28" s="20" t="s">
        <v>94</v>
      </c>
      <c r="E28" s="22" t="n">
        <v>5</v>
      </c>
      <c r="F28" s="23" t="n">
        <v>75.75</v>
      </c>
      <c r="G28" s="20" t="s">
        <v>87</v>
      </c>
      <c r="H28" s="24" t="n">
        <v>44911</v>
      </c>
      <c r="I28" s="20" t="s">
        <v>88</v>
      </c>
    </row>
    <row r="29" customFormat="false" ht="15" hidden="false" customHeight="true" outlineLevel="0" collapsed="false">
      <c r="A29" s="9" t="s">
        <v>130</v>
      </c>
      <c r="B29" s="10" t="s">
        <v>81</v>
      </c>
      <c r="C29" s="27" t="n">
        <v>51</v>
      </c>
      <c r="D29" s="10" t="s">
        <v>113</v>
      </c>
      <c r="E29" s="28" t="n">
        <v>2</v>
      </c>
      <c r="F29" s="29" t="n">
        <v>71.68</v>
      </c>
      <c r="G29" s="10" t="s">
        <v>83</v>
      </c>
      <c r="H29" s="30" t="n">
        <v>44332</v>
      </c>
      <c r="I29" s="10" t="s">
        <v>100</v>
      </c>
    </row>
    <row r="30" customFormat="false" ht="15" hidden="false" customHeight="true" outlineLevel="0" collapsed="false">
      <c r="A30" s="19" t="s">
        <v>131</v>
      </c>
      <c r="B30" s="20" t="s">
        <v>75</v>
      </c>
      <c r="C30" s="21" t="n">
        <v>25</v>
      </c>
      <c r="D30" s="20" t="s">
        <v>99</v>
      </c>
      <c r="E30" s="22" t="n">
        <v>5</v>
      </c>
      <c r="F30" s="23" t="n">
        <v>203.3</v>
      </c>
      <c r="G30" s="20" t="s">
        <v>77</v>
      </c>
      <c r="H30" s="24" t="n">
        <v>44671</v>
      </c>
      <c r="I30" s="20" t="s">
        <v>103</v>
      </c>
    </row>
    <row r="31" customFormat="false" ht="15" hidden="false" customHeight="true" outlineLevel="0" collapsed="false">
      <c r="A31" s="9" t="s">
        <v>132</v>
      </c>
      <c r="B31" s="10" t="s">
        <v>81</v>
      </c>
      <c r="C31" s="27" t="n">
        <v>50</v>
      </c>
      <c r="D31" s="10" t="s">
        <v>82</v>
      </c>
      <c r="E31" s="28" t="n">
        <v>4</v>
      </c>
      <c r="F31" s="29" t="n">
        <v>2400.68</v>
      </c>
      <c r="G31" s="10" t="s">
        <v>87</v>
      </c>
      <c r="H31" s="30" t="n">
        <v>44844</v>
      </c>
      <c r="I31" s="10" t="s">
        <v>111</v>
      </c>
    </row>
    <row r="32" customFormat="false" ht="15" hidden="false" customHeight="true" outlineLevel="0" collapsed="false">
      <c r="A32" s="19" t="s">
        <v>133</v>
      </c>
      <c r="B32" s="20" t="s">
        <v>75</v>
      </c>
      <c r="C32" s="21" t="n">
        <v>65</v>
      </c>
      <c r="D32" s="20" t="s">
        <v>82</v>
      </c>
      <c r="E32" s="22" t="n">
        <v>3</v>
      </c>
      <c r="F32" s="23" t="n">
        <v>1800.51</v>
      </c>
      <c r="G32" s="20" t="s">
        <v>87</v>
      </c>
      <c r="H32" s="24" t="n">
        <v>44796</v>
      </c>
      <c r="I32" s="20" t="s">
        <v>115</v>
      </c>
    </row>
    <row r="33" customFormat="false" ht="15" hidden="false" customHeight="true" outlineLevel="0" collapsed="false">
      <c r="A33" s="9" t="s">
        <v>134</v>
      </c>
      <c r="B33" s="10" t="s">
        <v>81</v>
      </c>
      <c r="C33" s="27" t="n">
        <v>29</v>
      </c>
      <c r="D33" s="10" t="s">
        <v>99</v>
      </c>
      <c r="E33" s="28" t="n">
        <v>3</v>
      </c>
      <c r="F33" s="29" t="n">
        <v>121.98</v>
      </c>
      <c r="G33" s="10" t="s">
        <v>77</v>
      </c>
      <c r="H33" s="30" t="n">
        <v>44315</v>
      </c>
      <c r="I33" s="10" t="s">
        <v>100</v>
      </c>
    </row>
    <row r="34" customFormat="false" ht="15" hidden="false" customHeight="true" outlineLevel="0" collapsed="false">
      <c r="A34" s="19" t="s">
        <v>135</v>
      </c>
      <c r="B34" s="20" t="s">
        <v>75</v>
      </c>
      <c r="C34" s="21" t="n">
        <v>66</v>
      </c>
      <c r="D34" s="20" t="s">
        <v>113</v>
      </c>
      <c r="E34" s="22" t="n">
        <v>3</v>
      </c>
      <c r="F34" s="23" t="n">
        <v>107.52</v>
      </c>
      <c r="G34" s="20" t="s">
        <v>83</v>
      </c>
      <c r="H34" s="24" t="n">
        <v>44746</v>
      </c>
      <c r="I34" s="20" t="s">
        <v>103</v>
      </c>
    </row>
    <row r="35" customFormat="false" ht="15" hidden="false" customHeight="true" outlineLevel="0" collapsed="false">
      <c r="A35" s="9" t="s">
        <v>136</v>
      </c>
      <c r="B35" s="10" t="s">
        <v>81</v>
      </c>
      <c r="C35" s="27" t="n">
        <v>23</v>
      </c>
      <c r="D35" s="10" t="s">
        <v>76</v>
      </c>
      <c r="E35" s="28" t="n">
        <v>1</v>
      </c>
      <c r="F35" s="29" t="n">
        <v>300.08</v>
      </c>
      <c r="G35" s="10" t="s">
        <v>77</v>
      </c>
      <c r="H35" s="30" t="n">
        <v>44521</v>
      </c>
      <c r="I35" s="10" t="s">
        <v>111</v>
      </c>
    </row>
    <row r="36" customFormat="false" ht="15" hidden="false" customHeight="true" outlineLevel="0" collapsed="false">
      <c r="A36" s="19" t="s">
        <v>137</v>
      </c>
      <c r="B36" s="20" t="s">
        <v>75</v>
      </c>
      <c r="C36" s="21" t="n">
        <v>32</v>
      </c>
      <c r="D36" s="20" t="s">
        <v>82</v>
      </c>
      <c r="E36" s="22" t="n">
        <v>3</v>
      </c>
      <c r="F36" s="23" t="n">
        <v>1800.51</v>
      </c>
      <c r="G36" s="20" t="s">
        <v>77</v>
      </c>
      <c r="H36" s="24" t="n">
        <v>44615</v>
      </c>
      <c r="I36" s="20" t="s">
        <v>78</v>
      </c>
    </row>
    <row r="37" customFormat="false" ht="15" hidden="false" customHeight="true" outlineLevel="0" collapsed="false">
      <c r="A37" s="9" t="s">
        <v>138</v>
      </c>
      <c r="B37" s="10" t="s">
        <v>81</v>
      </c>
      <c r="C37" s="27" t="n">
        <v>51</v>
      </c>
      <c r="D37" s="10" t="s">
        <v>76</v>
      </c>
      <c r="E37" s="28" t="n">
        <v>4</v>
      </c>
      <c r="F37" s="29" t="n">
        <v>1200.32</v>
      </c>
      <c r="G37" s="10" t="s">
        <v>83</v>
      </c>
      <c r="H37" s="30" t="n">
        <v>44388</v>
      </c>
      <c r="I37" s="10" t="s">
        <v>88</v>
      </c>
    </row>
    <row r="38" customFormat="false" ht="15" hidden="false" customHeight="true" outlineLevel="0" collapsed="false">
      <c r="A38" s="19" t="s">
        <v>139</v>
      </c>
      <c r="B38" s="20" t="s">
        <v>75</v>
      </c>
      <c r="C38" s="21" t="n">
        <v>66</v>
      </c>
      <c r="D38" s="20" t="s">
        <v>82</v>
      </c>
      <c r="E38" s="22" t="n">
        <v>4</v>
      </c>
      <c r="F38" s="23" t="n">
        <v>2400.68</v>
      </c>
      <c r="G38" s="20" t="s">
        <v>77</v>
      </c>
      <c r="H38" s="24" t="n">
        <v>44803</v>
      </c>
      <c r="I38" s="20" t="s">
        <v>121</v>
      </c>
    </row>
    <row r="39" customFormat="false" ht="15" hidden="false" customHeight="true" outlineLevel="0" collapsed="false">
      <c r="A39" s="9" t="s">
        <v>140</v>
      </c>
      <c r="B39" s="10" t="s">
        <v>81</v>
      </c>
      <c r="C39" s="27" t="n">
        <v>68</v>
      </c>
      <c r="D39" s="10" t="s">
        <v>109</v>
      </c>
      <c r="E39" s="28" t="n">
        <v>1</v>
      </c>
      <c r="F39" s="29" t="n">
        <v>5.23</v>
      </c>
      <c r="G39" s="10" t="s">
        <v>77</v>
      </c>
      <c r="H39" s="30" t="n">
        <v>44930</v>
      </c>
      <c r="I39" s="10" t="s">
        <v>111</v>
      </c>
    </row>
    <row r="40" customFormat="false" ht="15" hidden="false" customHeight="true" outlineLevel="0" collapsed="false">
      <c r="A40" s="19" t="s">
        <v>141</v>
      </c>
      <c r="B40" s="20" t="s">
        <v>81</v>
      </c>
      <c r="C40" s="21" t="n">
        <v>43</v>
      </c>
      <c r="D40" s="20" t="s">
        <v>76</v>
      </c>
      <c r="E40" s="22" t="n">
        <v>5</v>
      </c>
      <c r="F40" s="23" t="n">
        <v>1500.4</v>
      </c>
      <c r="G40" s="20" t="s">
        <v>77</v>
      </c>
      <c r="H40" s="24" t="n">
        <v>44733</v>
      </c>
      <c r="I40" s="20" t="s">
        <v>78</v>
      </c>
    </row>
    <row r="41" customFormat="false" ht="15" hidden="false" customHeight="true" outlineLevel="0" collapsed="false">
      <c r="A41" s="9" t="s">
        <v>142</v>
      </c>
      <c r="B41" s="10" t="s">
        <v>75</v>
      </c>
      <c r="C41" s="27" t="n">
        <v>59</v>
      </c>
      <c r="D41" s="10" t="s">
        <v>76</v>
      </c>
      <c r="E41" s="28" t="n">
        <v>2</v>
      </c>
      <c r="F41" s="29" t="n">
        <v>600.16</v>
      </c>
      <c r="G41" s="10" t="s">
        <v>77</v>
      </c>
      <c r="H41" s="30" t="n">
        <v>44750</v>
      </c>
      <c r="I41" s="10" t="s">
        <v>88</v>
      </c>
    </row>
    <row r="42" customFormat="false" ht="15" hidden="false" customHeight="true" outlineLevel="0" collapsed="false">
      <c r="A42" s="19" t="s">
        <v>143</v>
      </c>
      <c r="B42" s="20" t="s">
        <v>81</v>
      </c>
      <c r="C42" s="21" t="n">
        <v>54</v>
      </c>
      <c r="D42" s="20" t="s">
        <v>76</v>
      </c>
      <c r="E42" s="22" t="n">
        <v>2</v>
      </c>
      <c r="F42" s="23" t="n">
        <v>600.16</v>
      </c>
      <c r="G42" s="20" t="s">
        <v>87</v>
      </c>
      <c r="H42" s="24" t="n">
        <v>44619</v>
      </c>
      <c r="I42" s="20" t="s">
        <v>78</v>
      </c>
    </row>
    <row r="43" customFormat="false" ht="15" hidden="false" customHeight="true" outlineLevel="0" collapsed="false">
      <c r="A43" s="9" t="s">
        <v>144</v>
      </c>
      <c r="B43" s="10" t="s">
        <v>81</v>
      </c>
      <c r="C43" s="27" t="n">
        <v>24</v>
      </c>
      <c r="D43" s="10" t="s">
        <v>76</v>
      </c>
      <c r="E43" s="28" t="n">
        <v>1</v>
      </c>
      <c r="F43" s="29" t="n">
        <v>300.08</v>
      </c>
      <c r="G43" s="10" t="s">
        <v>87</v>
      </c>
      <c r="H43" s="30" t="n">
        <v>44914</v>
      </c>
      <c r="I43" s="10" t="s">
        <v>91</v>
      </c>
    </row>
    <row r="44" customFormat="false" ht="15" hidden="false" customHeight="true" outlineLevel="0" collapsed="false">
      <c r="A44" s="19" t="s">
        <v>145</v>
      </c>
      <c r="B44" s="20" t="s">
        <v>75</v>
      </c>
      <c r="C44" s="21" t="n">
        <v>49</v>
      </c>
      <c r="D44" s="20" t="s">
        <v>109</v>
      </c>
      <c r="E44" s="22" t="n">
        <v>3</v>
      </c>
      <c r="F44" s="23" t="n">
        <v>15.69</v>
      </c>
      <c r="G44" s="20" t="s">
        <v>87</v>
      </c>
      <c r="H44" s="24" t="n">
        <v>44449</v>
      </c>
      <c r="I44" s="20" t="s">
        <v>121</v>
      </c>
    </row>
    <row r="45" customFormat="false" ht="15" hidden="false" customHeight="true" outlineLevel="0" collapsed="false">
      <c r="A45" s="9" t="s">
        <v>146</v>
      </c>
      <c r="B45" s="10" t="s">
        <v>81</v>
      </c>
      <c r="C45" s="27" t="n">
        <v>67</v>
      </c>
      <c r="D45" s="10" t="s">
        <v>99</v>
      </c>
      <c r="E45" s="28" t="n">
        <v>2</v>
      </c>
      <c r="F45" s="29" t="n">
        <v>81.32</v>
      </c>
      <c r="G45" s="10" t="s">
        <v>77</v>
      </c>
      <c r="H45" s="30" t="n">
        <v>44606</v>
      </c>
      <c r="I45" s="10" t="s">
        <v>91</v>
      </c>
    </row>
    <row r="46" customFormat="false" ht="15" hidden="false" customHeight="true" outlineLevel="0" collapsed="false">
      <c r="A46" s="19" t="s">
        <v>147</v>
      </c>
      <c r="B46" s="20" t="s">
        <v>75</v>
      </c>
      <c r="C46" s="21" t="n">
        <v>48</v>
      </c>
      <c r="D46" s="20" t="s">
        <v>99</v>
      </c>
      <c r="E46" s="22" t="n">
        <v>3</v>
      </c>
      <c r="F46" s="23" t="n">
        <v>121.98</v>
      </c>
      <c r="G46" s="20" t="s">
        <v>87</v>
      </c>
      <c r="H46" s="24" t="n">
        <v>44679</v>
      </c>
      <c r="I46" s="20" t="s">
        <v>88</v>
      </c>
    </row>
    <row r="47" customFormat="false" ht="15" hidden="false" customHeight="true" outlineLevel="0" collapsed="false">
      <c r="A47" s="9" t="s">
        <v>148</v>
      </c>
      <c r="B47" s="10" t="s">
        <v>75</v>
      </c>
      <c r="C47" s="27" t="n">
        <v>40</v>
      </c>
      <c r="D47" s="10" t="s">
        <v>82</v>
      </c>
      <c r="E47" s="28" t="n">
        <v>4</v>
      </c>
      <c r="F47" s="29" t="n">
        <v>2400.68</v>
      </c>
      <c r="G47" s="10" t="s">
        <v>87</v>
      </c>
      <c r="H47" s="30" t="n">
        <v>44732</v>
      </c>
      <c r="I47" s="10" t="s">
        <v>88</v>
      </c>
    </row>
    <row r="48" customFormat="false" ht="15" hidden="false" customHeight="true" outlineLevel="0" collapsed="false">
      <c r="A48" s="19" t="s">
        <v>149</v>
      </c>
      <c r="B48" s="20" t="s">
        <v>75</v>
      </c>
      <c r="C48" s="21" t="n">
        <v>41</v>
      </c>
      <c r="D48" s="20" t="s">
        <v>82</v>
      </c>
      <c r="E48" s="22" t="n">
        <v>3</v>
      </c>
      <c r="F48" s="23" t="n">
        <v>1800.51</v>
      </c>
      <c r="G48" s="20" t="s">
        <v>77</v>
      </c>
      <c r="H48" s="24" t="n">
        <v>44672</v>
      </c>
      <c r="I48" s="20" t="s">
        <v>78</v>
      </c>
    </row>
    <row r="49" customFormat="false" ht="15" hidden="false" customHeight="true" outlineLevel="0" collapsed="false">
      <c r="A49" s="9" t="s">
        <v>150</v>
      </c>
      <c r="B49" s="10" t="s">
        <v>81</v>
      </c>
      <c r="C49" s="27" t="n">
        <v>46</v>
      </c>
      <c r="D49" s="10" t="s">
        <v>94</v>
      </c>
      <c r="E49" s="28" t="n">
        <v>5</v>
      </c>
      <c r="F49" s="29" t="n">
        <v>75.75</v>
      </c>
      <c r="G49" s="10" t="s">
        <v>77</v>
      </c>
      <c r="H49" s="30" t="n">
        <v>44904</v>
      </c>
      <c r="I49" s="10" t="s">
        <v>121</v>
      </c>
    </row>
    <row r="50" customFormat="false" ht="15" hidden="false" customHeight="true" outlineLevel="0" collapsed="false">
      <c r="A50" s="19" t="s">
        <v>151</v>
      </c>
      <c r="B50" s="20" t="s">
        <v>75</v>
      </c>
      <c r="C50" s="21" t="n">
        <v>19</v>
      </c>
      <c r="D50" s="20" t="s">
        <v>99</v>
      </c>
      <c r="E50" s="22" t="n">
        <v>3</v>
      </c>
      <c r="F50" s="23" t="n">
        <v>121.98</v>
      </c>
      <c r="G50" s="20" t="s">
        <v>77</v>
      </c>
      <c r="H50" s="24" t="n">
        <v>44938</v>
      </c>
      <c r="I50" s="20" t="s">
        <v>103</v>
      </c>
    </row>
    <row r="51" customFormat="false" ht="15" hidden="false" customHeight="true" outlineLevel="0" collapsed="false">
      <c r="A51" s="9" t="s">
        <v>152</v>
      </c>
      <c r="B51" s="10" t="s">
        <v>75</v>
      </c>
      <c r="C51" s="27" t="n">
        <v>43</v>
      </c>
      <c r="D51" s="10" t="s">
        <v>76</v>
      </c>
      <c r="E51" s="28" t="n">
        <v>4</v>
      </c>
      <c r="F51" s="29" t="n">
        <v>1200.32</v>
      </c>
      <c r="G51" s="10" t="s">
        <v>83</v>
      </c>
      <c r="H51" s="30" t="n">
        <v>44872</v>
      </c>
      <c r="I51" s="10" t="s">
        <v>121</v>
      </c>
    </row>
    <row r="52" customFormat="false" ht="15" hidden="false" customHeight="true" outlineLevel="0" collapsed="false">
      <c r="A52" s="19" t="s">
        <v>153</v>
      </c>
      <c r="B52" s="20" t="s">
        <v>81</v>
      </c>
      <c r="C52" s="21" t="n">
        <v>18</v>
      </c>
      <c r="D52" s="20" t="s">
        <v>99</v>
      </c>
      <c r="E52" s="22" t="n">
        <v>3</v>
      </c>
      <c r="F52" s="23" t="n">
        <v>121.98</v>
      </c>
      <c r="G52" s="20" t="s">
        <v>83</v>
      </c>
      <c r="H52" s="24" t="n">
        <v>44599</v>
      </c>
      <c r="I52" s="20" t="s">
        <v>121</v>
      </c>
    </row>
    <row r="53" customFormat="false" ht="15" hidden="false" customHeight="true" outlineLevel="0" collapsed="false">
      <c r="A53" s="9" t="s">
        <v>154</v>
      </c>
      <c r="B53" s="10" t="s">
        <v>75</v>
      </c>
      <c r="C53" s="27" t="n">
        <v>22</v>
      </c>
      <c r="D53" s="10" t="s">
        <v>94</v>
      </c>
      <c r="E53" s="28" t="n">
        <v>5</v>
      </c>
      <c r="F53" s="29" t="n">
        <v>75.75</v>
      </c>
      <c r="G53" s="10" t="s">
        <v>83</v>
      </c>
      <c r="H53" s="30" t="n">
        <v>44360</v>
      </c>
      <c r="I53" s="10" t="s">
        <v>84</v>
      </c>
    </row>
    <row r="54" customFormat="false" ht="15" hidden="false" customHeight="true" outlineLevel="0" collapsed="false">
      <c r="A54" s="19" t="s">
        <v>155</v>
      </c>
      <c r="B54" s="20" t="s">
        <v>75</v>
      </c>
      <c r="C54" s="21" t="n">
        <v>61</v>
      </c>
      <c r="D54" s="20" t="s">
        <v>99</v>
      </c>
      <c r="E54" s="22" t="n">
        <v>5</v>
      </c>
      <c r="F54" s="23" t="n">
        <v>203.3</v>
      </c>
      <c r="G54" s="20" t="s">
        <v>87</v>
      </c>
      <c r="H54" s="24" t="n">
        <v>44431</v>
      </c>
      <c r="I54" s="20" t="s">
        <v>111</v>
      </c>
    </row>
    <row r="55" customFormat="false" ht="15" hidden="false" customHeight="true" outlineLevel="0" collapsed="false">
      <c r="A55" s="9" t="s">
        <v>156</v>
      </c>
      <c r="B55" s="10" t="s">
        <v>75</v>
      </c>
      <c r="C55" s="27" t="n">
        <v>41</v>
      </c>
      <c r="D55" s="10" t="s">
        <v>94</v>
      </c>
      <c r="E55" s="28" t="n">
        <v>3</v>
      </c>
      <c r="F55" s="29" t="n">
        <v>45.45</v>
      </c>
      <c r="G55" s="10" t="s">
        <v>87</v>
      </c>
      <c r="H55" s="30" t="n">
        <v>44981</v>
      </c>
      <c r="I55" s="10" t="s">
        <v>100</v>
      </c>
    </row>
    <row r="56" customFormat="false" ht="15" hidden="false" customHeight="true" outlineLevel="0" collapsed="false">
      <c r="A56" s="19" t="s">
        <v>157</v>
      </c>
      <c r="B56" s="20" t="s">
        <v>75</v>
      </c>
      <c r="C56" s="21" t="n">
        <v>53</v>
      </c>
      <c r="D56" s="20" t="s">
        <v>99</v>
      </c>
      <c r="E56" s="22" t="n">
        <v>2</v>
      </c>
      <c r="F56" s="23" t="n">
        <v>81.32</v>
      </c>
      <c r="G56" s="20" t="s">
        <v>77</v>
      </c>
      <c r="H56" s="24" t="n">
        <v>44938</v>
      </c>
      <c r="I56" s="20" t="s">
        <v>100</v>
      </c>
    </row>
    <row r="57" customFormat="false" ht="15" hidden="false" customHeight="true" outlineLevel="0" collapsed="false">
      <c r="A57" s="9" t="s">
        <v>158</v>
      </c>
      <c r="B57" s="10" t="s">
        <v>75</v>
      </c>
      <c r="C57" s="27" t="n">
        <v>43</v>
      </c>
      <c r="D57" s="10" t="s">
        <v>128</v>
      </c>
      <c r="E57" s="28" t="n">
        <v>4</v>
      </c>
      <c r="F57" s="29" t="n">
        <v>4200</v>
      </c>
      <c r="G57" s="10" t="s">
        <v>87</v>
      </c>
      <c r="H57" s="30" t="n">
        <v>44614</v>
      </c>
      <c r="I57" s="10" t="s">
        <v>88</v>
      </c>
    </row>
    <row r="58" customFormat="false" ht="15" hidden="false" customHeight="true" outlineLevel="0" collapsed="false">
      <c r="A58" s="19" t="s">
        <v>159</v>
      </c>
      <c r="B58" s="20" t="s">
        <v>75</v>
      </c>
      <c r="C58" s="21" t="n">
        <v>45</v>
      </c>
      <c r="D58" s="20" t="s">
        <v>109</v>
      </c>
      <c r="E58" s="22" t="n">
        <v>3</v>
      </c>
      <c r="F58" s="23" t="n">
        <v>15.69</v>
      </c>
      <c r="G58" s="20" t="s">
        <v>83</v>
      </c>
      <c r="H58" s="24" t="n">
        <v>44267</v>
      </c>
      <c r="I58" s="20" t="s">
        <v>118</v>
      </c>
    </row>
    <row r="59" customFormat="false" ht="15" hidden="false" customHeight="true" outlineLevel="0" collapsed="false">
      <c r="A59" s="9" t="s">
        <v>160</v>
      </c>
      <c r="B59" s="10" t="s">
        <v>75</v>
      </c>
      <c r="C59" s="27" t="n">
        <v>29</v>
      </c>
      <c r="D59" s="10" t="s">
        <v>76</v>
      </c>
      <c r="E59" s="28" t="n">
        <v>1</v>
      </c>
      <c r="F59" s="29" t="n">
        <v>300.08</v>
      </c>
      <c r="G59" s="10" t="s">
        <v>87</v>
      </c>
      <c r="H59" s="30" t="n">
        <v>44563</v>
      </c>
      <c r="I59" s="10" t="s">
        <v>100</v>
      </c>
    </row>
    <row r="60" customFormat="false" ht="15" hidden="false" customHeight="true" outlineLevel="0" collapsed="false">
      <c r="A60" s="19" t="s">
        <v>161</v>
      </c>
      <c r="B60" s="20" t="s">
        <v>81</v>
      </c>
      <c r="C60" s="21" t="n">
        <v>43</v>
      </c>
      <c r="D60" s="20" t="s">
        <v>113</v>
      </c>
      <c r="E60" s="22" t="n">
        <v>2</v>
      </c>
      <c r="F60" s="23" t="n">
        <v>71.68</v>
      </c>
      <c r="G60" s="20" t="s">
        <v>87</v>
      </c>
      <c r="H60" s="24" t="n">
        <v>44526</v>
      </c>
      <c r="I60" s="20" t="s">
        <v>78</v>
      </c>
    </row>
    <row r="61" customFormat="false" ht="15" hidden="false" customHeight="true" outlineLevel="0" collapsed="false">
      <c r="A61" s="9" t="s">
        <v>162</v>
      </c>
      <c r="B61" s="10" t="s">
        <v>75</v>
      </c>
      <c r="C61" s="27" t="n">
        <v>19</v>
      </c>
      <c r="D61" s="10" t="s">
        <v>76</v>
      </c>
      <c r="E61" s="28" t="n">
        <v>4</v>
      </c>
      <c r="F61" s="29" t="n">
        <v>1200.32</v>
      </c>
      <c r="G61" s="10" t="s">
        <v>77</v>
      </c>
      <c r="H61" s="30" t="n">
        <v>44307</v>
      </c>
      <c r="I61" s="10" t="s">
        <v>78</v>
      </c>
    </row>
    <row r="62" customFormat="false" ht="15" hidden="false" customHeight="true" outlineLevel="0" collapsed="false">
      <c r="A62" s="19" t="s">
        <v>163</v>
      </c>
      <c r="B62" s="20" t="s">
        <v>75</v>
      </c>
      <c r="C62" s="21" t="n">
        <v>67</v>
      </c>
      <c r="D62" s="20" t="s">
        <v>109</v>
      </c>
      <c r="E62" s="22" t="n">
        <v>3</v>
      </c>
      <c r="F62" s="23" t="n">
        <v>15.69</v>
      </c>
      <c r="G62" s="20" t="s">
        <v>87</v>
      </c>
      <c r="H62" s="24" t="n">
        <v>44370</v>
      </c>
      <c r="I62" s="20" t="s">
        <v>78</v>
      </c>
    </row>
    <row r="63" customFormat="false" ht="15" hidden="false" customHeight="true" outlineLevel="0" collapsed="false">
      <c r="A63" s="9" t="s">
        <v>164</v>
      </c>
      <c r="B63" s="10" t="s">
        <v>75</v>
      </c>
      <c r="C63" s="27" t="n">
        <v>36</v>
      </c>
      <c r="D63" s="10" t="s">
        <v>94</v>
      </c>
      <c r="E63" s="28" t="n">
        <v>4</v>
      </c>
      <c r="F63" s="29" t="n">
        <v>60.6</v>
      </c>
      <c r="G63" s="10" t="s">
        <v>87</v>
      </c>
      <c r="H63" s="30" t="n">
        <v>44544</v>
      </c>
      <c r="I63" s="10" t="s">
        <v>78</v>
      </c>
    </row>
    <row r="64" customFormat="false" ht="15" hidden="false" customHeight="true" outlineLevel="0" collapsed="false">
      <c r="A64" s="19" t="s">
        <v>165</v>
      </c>
      <c r="B64" s="20" t="s">
        <v>81</v>
      </c>
      <c r="C64" s="21" t="n">
        <v>64</v>
      </c>
      <c r="D64" s="20" t="s">
        <v>76</v>
      </c>
      <c r="E64" s="22" t="n">
        <v>5</v>
      </c>
      <c r="F64" s="23" t="n">
        <v>1500.4</v>
      </c>
      <c r="G64" s="20" t="s">
        <v>77</v>
      </c>
      <c r="H64" s="24" t="n">
        <v>44721</v>
      </c>
      <c r="I64" s="20" t="s">
        <v>103</v>
      </c>
    </row>
    <row r="65" customFormat="false" ht="15" hidden="false" customHeight="true" outlineLevel="0" collapsed="false">
      <c r="A65" s="9" t="s">
        <v>166</v>
      </c>
      <c r="B65" s="10" t="s">
        <v>75</v>
      </c>
      <c r="C65" s="27" t="n">
        <v>33</v>
      </c>
      <c r="D65" s="10" t="s">
        <v>76</v>
      </c>
      <c r="E65" s="28" t="n">
        <v>1</v>
      </c>
      <c r="F65" s="29" t="n">
        <v>300.08</v>
      </c>
      <c r="G65" s="10" t="s">
        <v>83</v>
      </c>
      <c r="H65" s="30" t="n">
        <v>44526</v>
      </c>
      <c r="I65" s="10" t="s">
        <v>78</v>
      </c>
    </row>
    <row r="66" customFormat="false" ht="15" hidden="false" customHeight="true" outlineLevel="0" collapsed="false">
      <c r="A66" s="19" t="s">
        <v>167</v>
      </c>
      <c r="B66" s="20" t="s">
        <v>75</v>
      </c>
      <c r="C66" s="21" t="n">
        <v>33</v>
      </c>
      <c r="D66" s="20" t="s">
        <v>76</v>
      </c>
      <c r="E66" s="22" t="n">
        <v>4</v>
      </c>
      <c r="F66" s="23" t="n">
        <v>1200.32</v>
      </c>
      <c r="G66" s="20" t="s">
        <v>77</v>
      </c>
      <c r="H66" s="24" t="n">
        <v>44232</v>
      </c>
      <c r="I66" s="20" t="s">
        <v>78</v>
      </c>
    </row>
    <row r="67" customFormat="false" ht="15" hidden="false" customHeight="true" outlineLevel="0" collapsed="false">
      <c r="A67" s="9" t="s">
        <v>168</v>
      </c>
      <c r="B67" s="10" t="s">
        <v>81</v>
      </c>
      <c r="C67" s="27" t="n">
        <v>66</v>
      </c>
      <c r="D67" s="10" t="s">
        <v>76</v>
      </c>
      <c r="E67" s="28" t="n">
        <v>4</v>
      </c>
      <c r="F67" s="29" t="n">
        <v>1200.32</v>
      </c>
      <c r="G67" s="10" t="s">
        <v>87</v>
      </c>
      <c r="H67" s="30" t="n">
        <v>44626</v>
      </c>
      <c r="I67" s="10" t="s">
        <v>103</v>
      </c>
    </row>
    <row r="68" customFormat="false" ht="15" hidden="false" customHeight="true" outlineLevel="0" collapsed="false">
      <c r="A68" s="19" t="s">
        <v>169</v>
      </c>
      <c r="B68" s="20" t="s">
        <v>75</v>
      </c>
      <c r="C68" s="21" t="n">
        <v>29</v>
      </c>
      <c r="D68" s="20" t="s">
        <v>99</v>
      </c>
      <c r="E68" s="22" t="n">
        <v>4</v>
      </c>
      <c r="F68" s="23" t="n">
        <v>162.64</v>
      </c>
      <c r="G68" s="20" t="s">
        <v>83</v>
      </c>
      <c r="H68" s="24" t="n">
        <v>44690</v>
      </c>
      <c r="I68" s="20" t="s">
        <v>91</v>
      </c>
    </row>
    <row r="69" customFormat="false" ht="15" hidden="false" customHeight="true" outlineLevel="0" collapsed="false">
      <c r="A69" s="9" t="s">
        <v>170</v>
      </c>
      <c r="B69" s="10" t="s">
        <v>81</v>
      </c>
      <c r="C69" s="27" t="n">
        <v>22</v>
      </c>
      <c r="D69" s="10" t="s">
        <v>113</v>
      </c>
      <c r="E69" s="28" t="n">
        <v>3</v>
      </c>
      <c r="F69" s="29" t="n">
        <v>107.52</v>
      </c>
      <c r="G69" s="10" t="s">
        <v>87</v>
      </c>
      <c r="H69" s="30" t="n">
        <v>44851</v>
      </c>
      <c r="I69" s="10" t="s">
        <v>103</v>
      </c>
    </row>
    <row r="70" customFormat="false" ht="15" hidden="false" customHeight="true" outlineLevel="0" collapsed="false">
      <c r="A70" s="19" t="s">
        <v>171</v>
      </c>
      <c r="B70" s="20" t="s">
        <v>75</v>
      </c>
      <c r="C70" s="21" t="n">
        <v>63</v>
      </c>
      <c r="D70" s="20" t="s">
        <v>109</v>
      </c>
      <c r="E70" s="22" t="n">
        <v>3</v>
      </c>
      <c r="F70" s="23" t="n">
        <v>15.69</v>
      </c>
      <c r="G70" s="20" t="s">
        <v>87</v>
      </c>
      <c r="H70" s="24" t="n">
        <v>44583</v>
      </c>
      <c r="I70" s="20" t="s">
        <v>115</v>
      </c>
    </row>
    <row r="71" customFormat="false" ht="15" hidden="false" customHeight="true" outlineLevel="0" collapsed="false">
      <c r="A71" s="9" t="s">
        <v>172</v>
      </c>
      <c r="B71" s="10" t="s">
        <v>75</v>
      </c>
      <c r="C71" s="27" t="n">
        <v>24</v>
      </c>
      <c r="D71" s="10" t="s">
        <v>173</v>
      </c>
      <c r="E71" s="28" t="n">
        <v>5</v>
      </c>
      <c r="F71" s="29" t="n">
        <v>58.65</v>
      </c>
      <c r="G71" s="10" t="s">
        <v>83</v>
      </c>
      <c r="H71" s="30" t="n">
        <v>44269</v>
      </c>
      <c r="I71" s="10" t="s">
        <v>100</v>
      </c>
    </row>
    <row r="72" customFormat="false" ht="15" hidden="false" customHeight="true" outlineLevel="0" collapsed="false">
      <c r="A72" s="19" t="s">
        <v>174</v>
      </c>
      <c r="B72" s="20" t="s">
        <v>75</v>
      </c>
      <c r="C72" s="21" t="n">
        <v>24</v>
      </c>
      <c r="D72" s="20" t="s">
        <v>99</v>
      </c>
      <c r="E72" s="22" t="n">
        <v>5</v>
      </c>
      <c r="F72" s="23" t="n">
        <v>203.3</v>
      </c>
      <c r="G72" s="20" t="s">
        <v>87</v>
      </c>
      <c r="H72" s="24" t="n">
        <v>44678</v>
      </c>
      <c r="I72" s="20" t="s">
        <v>88</v>
      </c>
    </row>
    <row r="73" customFormat="false" ht="15" hidden="false" customHeight="true" outlineLevel="0" collapsed="false">
      <c r="A73" s="9" t="s">
        <v>175</v>
      </c>
      <c r="B73" s="10" t="s">
        <v>75</v>
      </c>
      <c r="C73" s="27" t="n">
        <v>44</v>
      </c>
      <c r="D73" s="10" t="s">
        <v>128</v>
      </c>
      <c r="E73" s="28" t="n">
        <v>5</v>
      </c>
      <c r="F73" s="29" t="n">
        <v>5250</v>
      </c>
      <c r="G73" s="10" t="s">
        <v>77</v>
      </c>
      <c r="H73" s="30" t="n">
        <v>44519</v>
      </c>
      <c r="I73" s="10" t="s">
        <v>103</v>
      </c>
    </row>
    <row r="74" customFormat="false" ht="15" hidden="false" customHeight="true" outlineLevel="0" collapsed="false">
      <c r="A74" s="19" t="s">
        <v>176</v>
      </c>
      <c r="B74" s="20" t="s">
        <v>81</v>
      </c>
      <c r="C74" s="21" t="n">
        <v>34</v>
      </c>
      <c r="D74" s="20" t="s">
        <v>82</v>
      </c>
      <c r="E74" s="22" t="n">
        <v>5</v>
      </c>
      <c r="F74" s="23" t="n">
        <v>3000.85</v>
      </c>
      <c r="G74" s="20" t="s">
        <v>87</v>
      </c>
      <c r="H74" s="24" t="n">
        <v>44814</v>
      </c>
      <c r="I74" s="20" t="s">
        <v>84</v>
      </c>
    </row>
    <row r="75" customFormat="false" ht="15" hidden="false" customHeight="true" outlineLevel="0" collapsed="false">
      <c r="A75" s="9" t="s">
        <v>177</v>
      </c>
      <c r="B75" s="10" t="s">
        <v>75</v>
      </c>
      <c r="C75" s="27" t="n">
        <v>47</v>
      </c>
      <c r="D75" s="10" t="s">
        <v>99</v>
      </c>
      <c r="E75" s="28" t="n">
        <v>4</v>
      </c>
      <c r="F75" s="29" t="n">
        <v>162.64</v>
      </c>
      <c r="G75" s="10" t="s">
        <v>87</v>
      </c>
      <c r="H75" s="30" t="n">
        <v>44443</v>
      </c>
      <c r="I75" s="10" t="s">
        <v>78</v>
      </c>
    </row>
    <row r="76" customFormat="false" ht="15" hidden="false" customHeight="true" outlineLevel="0" collapsed="false">
      <c r="A76" s="19" t="s">
        <v>178</v>
      </c>
      <c r="B76" s="20" t="s">
        <v>81</v>
      </c>
      <c r="C76" s="21" t="n">
        <v>38</v>
      </c>
      <c r="D76" s="20" t="s">
        <v>109</v>
      </c>
      <c r="E76" s="22" t="n">
        <v>5</v>
      </c>
      <c r="F76" s="23" t="n">
        <v>26.15</v>
      </c>
      <c r="G76" s="20" t="s">
        <v>87</v>
      </c>
      <c r="H76" s="24" t="n">
        <v>44794</v>
      </c>
      <c r="I76" s="20" t="s">
        <v>103</v>
      </c>
    </row>
    <row r="77" customFormat="false" ht="15" hidden="false" customHeight="true" outlineLevel="0" collapsed="false">
      <c r="A77" s="9" t="s">
        <v>179</v>
      </c>
      <c r="B77" s="10" t="s">
        <v>75</v>
      </c>
      <c r="C77" s="27" t="n">
        <v>57</v>
      </c>
      <c r="D77" s="10" t="s">
        <v>82</v>
      </c>
      <c r="E77" s="28" t="n">
        <v>5</v>
      </c>
      <c r="F77" s="29" t="n">
        <v>3000.85</v>
      </c>
      <c r="G77" s="10" t="s">
        <v>83</v>
      </c>
      <c r="H77" s="30" t="n">
        <v>44471</v>
      </c>
      <c r="I77" s="10" t="s">
        <v>111</v>
      </c>
    </row>
    <row r="78" customFormat="false" ht="15" hidden="false" customHeight="true" outlineLevel="0" collapsed="false">
      <c r="A78" s="19" t="s">
        <v>180</v>
      </c>
      <c r="B78" s="20" t="s">
        <v>81</v>
      </c>
      <c r="C78" s="21" t="n">
        <v>67</v>
      </c>
      <c r="D78" s="20" t="s">
        <v>113</v>
      </c>
      <c r="E78" s="22" t="n">
        <v>3</v>
      </c>
      <c r="F78" s="23" t="n">
        <v>107.52</v>
      </c>
      <c r="G78" s="20" t="s">
        <v>87</v>
      </c>
      <c r="H78" s="24" t="n">
        <v>44933</v>
      </c>
      <c r="I78" s="20" t="s">
        <v>111</v>
      </c>
    </row>
    <row r="79" customFormat="false" ht="15" hidden="false" customHeight="true" outlineLevel="0" collapsed="false">
      <c r="A79" s="9" t="s">
        <v>181</v>
      </c>
      <c r="B79" s="10" t="s">
        <v>81</v>
      </c>
      <c r="C79" s="27" t="n">
        <v>41</v>
      </c>
      <c r="D79" s="10" t="s">
        <v>173</v>
      </c>
      <c r="E79" s="28" t="n">
        <v>3</v>
      </c>
      <c r="F79" s="29" t="n">
        <v>35.19</v>
      </c>
      <c r="G79" s="10" t="s">
        <v>77</v>
      </c>
      <c r="H79" s="30" t="n">
        <v>44355</v>
      </c>
      <c r="I79" s="10" t="s">
        <v>115</v>
      </c>
    </row>
    <row r="80" customFormat="false" ht="15" hidden="false" customHeight="true" outlineLevel="0" collapsed="false">
      <c r="A80" s="19" t="s">
        <v>182</v>
      </c>
      <c r="B80" s="20" t="s">
        <v>75</v>
      </c>
      <c r="C80" s="21" t="n">
        <v>40</v>
      </c>
      <c r="D80" s="20" t="s">
        <v>76</v>
      </c>
      <c r="E80" s="22" t="n">
        <v>5</v>
      </c>
      <c r="F80" s="23" t="n">
        <v>1500.4</v>
      </c>
      <c r="G80" s="20" t="s">
        <v>83</v>
      </c>
      <c r="H80" s="24" t="n">
        <v>44303</v>
      </c>
      <c r="I80" s="20" t="s">
        <v>78</v>
      </c>
    </row>
    <row r="81" customFormat="false" ht="15" hidden="false" customHeight="true" outlineLevel="0" collapsed="false">
      <c r="A81" s="9" t="s">
        <v>183</v>
      </c>
      <c r="B81" s="10" t="s">
        <v>75</v>
      </c>
      <c r="C81" s="27" t="n">
        <v>69</v>
      </c>
      <c r="D81" s="10" t="s">
        <v>82</v>
      </c>
      <c r="E81" s="28" t="n">
        <v>4</v>
      </c>
      <c r="F81" s="29" t="n">
        <v>2400.68</v>
      </c>
      <c r="G81" s="10" t="s">
        <v>87</v>
      </c>
      <c r="H81" s="30" t="n">
        <v>44443</v>
      </c>
      <c r="I81" s="10" t="s">
        <v>88</v>
      </c>
    </row>
    <row r="82" customFormat="false" ht="15" hidden="false" customHeight="true" outlineLevel="0" collapsed="false">
      <c r="A82" s="19" t="s">
        <v>184</v>
      </c>
      <c r="B82" s="20" t="s">
        <v>75</v>
      </c>
      <c r="C82" s="21" t="n">
        <v>47</v>
      </c>
      <c r="D82" s="20" t="s">
        <v>109</v>
      </c>
      <c r="E82" s="22" t="n">
        <v>5</v>
      </c>
      <c r="F82" s="23" t="n">
        <v>26.15</v>
      </c>
      <c r="G82" s="20" t="s">
        <v>87</v>
      </c>
      <c r="H82" s="24" t="n">
        <v>44762</v>
      </c>
      <c r="I82" s="20" t="s">
        <v>103</v>
      </c>
    </row>
    <row r="83" customFormat="false" ht="15" hidden="false" customHeight="true" outlineLevel="0" collapsed="false">
      <c r="A83" s="9" t="s">
        <v>185</v>
      </c>
      <c r="B83" s="10" t="s">
        <v>75</v>
      </c>
      <c r="C83" s="27" t="n">
        <v>53</v>
      </c>
      <c r="D83" s="10" t="s">
        <v>109</v>
      </c>
      <c r="E83" s="28" t="n">
        <v>4</v>
      </c>
      <c r="F83" s="29" t="n">
        <v>20.92</v>
      </c>
      <c r="G83" s="10" t="s">
        <v>77</v>
      </c>
      <c r="H83" s="30" t="n">
        <v>44391</v>
      </c>
      <c r="I83" s="10" t="s">
        <v>100</v>
      </c>
    </row>
    <row r="84" customFormat="false" ht="15" hidden="false" customHeight="true" outlineLevel="0" collapsed="false">
      <c r="A84" s="19" t="s">
        <v>186</v>
      </c>
      <c r="B84" s="20" t="s">
        <v>81</v>
      </c>
      <c r="C84" s="21" t="n">
        <v>40</v>
      </c>
      <c r="D84" s="20" t="s">
        <v>113</v>
      </c>
      <c r="E84" s="22" t="n">
        <v>2</v>
      </c>
      <c r="F84" s="23" t="n">
        <v>71.68</v>
      </c>
      <c r="G84" s="20" t="s">
        <v>87</v>
      </c>
      <c r="H84" s="24" t="n">
        <v>44866</v>
      </c>
      <c r="I84" s="20" t="s">
        <v>111</v>
      </c>
    </row>
    <row r="85" customFormat="false" ht="15" hidden="false" customHeight="true" outlineLevel="0" collapsed="false">
      <c r="A85" s="9" t="s">
        <v>187</v>
      </c>
      <c r="B85" s="10" t="s">
        <v>81</v>
      </c>
      <c r="C85" s="27" t="n">
        <v>60</v>
      </c>
      <c r="D85" s="10" t="s">
        <v>99</v>
      </c>
      <c r="E85" s="28" t="n">
        <v>4</v>
      </c>
      <c r="F85" s="29" t="n">
        <v>162.64</v>
      </c>
      <c r="G85" s="10" t="s">
        <v>77</v>
      </c>
      <c r="H85" s="30" t="n">
        <v>44932</v>
      </c>
      <c r="I85" s="10" t="s">
        <v>88</v>
      </c>
    </row>
    <row r="86" customFormat="false" ht="15" hidden="false" customHeight="true" outlineLevel="0" collapsed="false">
      <c r="A86" s="19" t="s">
        <v>188</v>
      </c>
      <c r="B86" s="20" t="s">
        <v>81</v>
      </c>
      <c r="C86" s="21" t="n">
        <v>30</v>
      </c>
      <c r="D86" s="20" t="s">
        <v>173</v>
      </c>
      <c r="E86" s="22" t="n">
        <v>2</v>
      </c>
      <c r="F86" s="23" t="n">
        <v>23.46</v>
      </c>
      <c r="G86" s="20" t="s">
        <v>87</v>
      </c>
      <c r="H86" s="24" t="n">
        <v>44280</v>
      </c>
      <c r="I86" s="20" t="s">
        <v>78</v>
      </c>
    </row>
    <row r="87" customFormat="false" ht="15" hidden="false" customHeight="true" outlineLevel="0" collapsed="false">
      <c r="A87" s="9" t="s">
        <v>189</v>
      </c>
      <c r="B87" s="10" t="s">
        <v>75</v>
      </c>
      <c r="C87" s="27" t="n">
        <v>66</v>
      </c>
      <c r="D87" s="10" t="s">
        <v>76</v>
      </c>
      <c r="E87" s="28" t="n">
        <v>2</v>
      </c>
      <c r="F87" s="29" t="n">
        <v>600.16</v>
      </c>
      <c r="G87" s="10" t="s">
        <v>77</v>
      </c>
      <c r="H87" s="30" t="n">
        <v>44812</v>
      </c>
      <c r="I87" s="10" t="s">
        <v>100</v>
      </c>
    </row>
    <row r="88" customFormat="false" ht="15" hidden="false" customHeight="true" outlineLevel="0" collapsed="false">
      <c r="A88" s="19" t="s">
        <v>190</v>
      </c>
      <c r="B88" s="20" t="s">
        <v>81</v>
      </c>
      <c r="C88" s="21" t="n">
        <v>22</v>
      </c>
      <c r="D88" s="20" t="s">
        <v>109</v>
      </c>
      <c r="E88" s="22" t="n">
        <v>1</v>
      </c>
      <c r="F88" s="23" t="n">
        <v>5.23</v>
      </c>
      <c r="G88" s="20" t="s">
        <v>87</v>
      </c>
      <c r="H88" s="24" t="n">
        <v>44610</v>
      </c>
      <c r="I88" s="20" t="s">
        <v>103</v>
      </c>
    </row>
    <row r="89" customFormat="false" ht="15" hidden="false" customHeight="true" outlineLevel="0" collapsed="false">
      <c r="A89" s="9" t="s">
        <v>191</v>
      </c>
      <c r="B89" s="10" t="s">
        <v>81</v>
      </c>
      <c r="C89" s="27" t="n">
        <v>53</v>
      </c>
      <c r="D89" s="10" t="s">
        <v>109</v>
      </c>
      <c r="E89" s="28" t="n">
        <v>2</v>
      </c>
      <c r="F89" s="29" t="n">
        <v>10.46</v>
      </c>
      <c r="G89" s="10" t="s">
        <v>87</v>
      </c>
      <c r="H89" s="30" t="n">
        <v>44308</v>
      </c>
      <c r="I89" s="10" t="s">
        <v>78</v>
      </c>
    </row>
    <row r="90" customFormat="false" ht="15" hidden="false" customHeight="true" outlineLevel="0" collapsed="false">
      <c r="A90" s="19" t="s">
        <v>192</v>
      </c>
      <c r="B90" s="20" t="s">
        <v>75</v>
      </c>
      <c r="C90" s="21" t="n">
        <v>52</v>
      </c>
      <c r="D90" s="20" t="s">
        <v>76</v>
      </c>
      <c r="E90" s="22" t="n">
        <v>5</v>
      </c>
      <c r="F90" s="23" t="n">
        <v>1500.4</v>
      </c>
      <c r="G90" s="20" t="s">
        <v>87</v>
      </c>
      <c r="H90" s="24" t="n">
        <v>44849</v>
      </c>
      <c r="I90" s="20" t="s">
        <v>121</v>
      </c>
    </row>
    <row r="91" customFormat="false" ht="15" hidden="false" customHeight="true" outlineLevel="0" collapsed="false">
      <c r="A91" s="9" t="s">
        <v>193</v>
      </c>
      <c r="B91" s="10" t="s">
        <v>81</v>
      </c>
      <c r="C91" s="27" t="n">
        <v>26</v>
      </c>
      <c r="D91" s="10" t="s">
        <v>82</v>
      </c>
      <c r="E91" s="28" t="n">
        <v>5</v>
      </c>
      <c r="F91" s="29" t="n">
        <v>3000.85</v>
      </c>
      <c r="G91" s="10" t="s">
        <v>87</v>
      </c>
      <c r="H91" s="30" t="n">
        <v>44658</v>
      </c>
      <c r="I91" s="10" t="s">
        <v>103</v>
      </c>
    </row>
    <row r="92" customFormat="false" ht="15" hidden="false" customHeight="true" outlineLevel="0" collapsed="false">
      <c r="A92" s="19" t="s">
        <v>194</v>
      </c>
      <c r="B92" s="20" t="s">
        <v>81</v>
      </c>
      <c r="C92" s="21" t="n">
        <v>66</v>
      </c>
      <c r="D92" s="20" t="s">
        <v>109</v>
      </c>
      <c r="E92" s="22" t="n">
        <v>1</v>
      </c>
      <c r="F92" s="23" t="n">
        <v>5.23</v>
      </c>
      <c r="G92" s="20" t="s">
        <v>87</v>
      </c>
      <c r="H92" s="24" t="n">
        <v>44719</v>
      </c>
      <c r="I92" s="20" t="s">
        <v>103</v>
      </c>
    </row>
    <row r="93" customFormat="false" ht="15" hidden="false" customHeight="true" outlineLevel="0" collapsed="false">
      <c r="A93" s="9" t="s">
        <v>195</v>
      </c>
      <c r="B93" s="10" t="s">
        <v>81</v>
      </c>
      <c r="C93" s="27" t="n">
        <v>65</v>
      </c>
      <c r="D93" s="10" t="s">
        <v>76</v>
      </c>
      <c r="E93" s="28" t="n">
        <v>4</v>
      </c>
      <c r="F93" s="29" t="n">
        <v>1200.32</v>
      </c>
      <c r="G93" s="10" t="s">
        <v>83</v>
      </c>
      <c r="H93" s="30" t="n">
        <v>44948</v>
      </c>
      <c r="I93" s="10" t="s">
        <v>91</v>
      </c>
    </row>
    <row r="94" customFormat="false" ht="15" hidden="false" customHeight="true" outlineLevel="0" collapsed="false">
      <c r="A94" s="19" t="s">
        <v>196</v>
      </c>
      <c r="B94" s="20" t="s">
        <v>75</v>
      </c>
      <c r="C94" s="21" t="n">
        <v>43</v>
      </c>
      <c r="D94" s="20" t="s">
        <v>128</v>
      </c>
      <c r="E94" s="22" t="n">
        <v>2</v>
      </c>
      <c r="F94" s="23" t="n">
        <v>2100</v>
      </c>
      <c r="G94" s="20" t="s">
        <v>87</v>
      </c>
      <c r="H94" s="24" t="n">
        <v>44795</v>
      </c>
      <c r="I94" s="20" t="s">
        <v>78</v>
      </c>
    </row>
    <row r="95" customFormat="false" ht="15" hidden="false" customHeight="true" outlineLevel="0" collapsed="false">
      <c r="A95" s="9" t="s">
        <v>197</v>
      </c>
      <c r="B95" s="10" t="s">
        <v>75</v>
      </c>
      <c r="C95" s="27" t="n">
        <v>59</v>
      </c>
      <c r="D95" s="10" t="s">
        <v>113</v>
      </c>
      <c r="E95" s="28" t="n">
        <v>1</v>
      </c>
      <c r="F95" s="29" t="n">
        <v>35.84</v>
      </c>
      <c r="G95" s="10" t="s">
        <v>83</v>
      </c>
      <c r="H95" s="30" t="n">
        <v>44472</v>
      </c>
      <c r="I95" s="10" t="s">
        <v>78</v>
      </c>
    </row>
    <row r="96" customFormat="false" ht="15" hidden="false" customHeight="true" outlineLevel="0" collapsed="false">
      <c r="A96" s="19" t="s">
        <v>198</v>
      </c>
      <c r="B96" s="20" t="s">
        <v>75</v>
      </c>
      <c r="C96" s="21" t="n">
        <v>30</v>
      </c>
      <c r="D96" s="20" t="s">
        <v>173</v>
      </c>
      <c r="E96" s="22" t="n">
        <v>5</v>
      </c>
      <c r="F96" s="23" t="n">
        <v>58.65</v>
      </c>
      <c r="G96" s="20" t="s">
        <v>83</v>
      </c>
      <c r="H96" s="24" t="n">
        <v>44406</v>
      </c>
      <c r="I96" s="20" t="s">
        <v>78</v>
      </c>
    </row>
    <row r="97" customFormat="false" ht="15" hidden="false" customHeight="true" outlineLevel="0" collapsed="false">
      <c r="A97" s="9" t="s">
        <v>199</v>
      </c>
      <c r="B97" s="10" t="s">
        <v>75</v>
      </c>
      <c r="C97" s="27" t="n">
        <v>25</v>
      </c>
      <c r="D97" s="10" t="s">
        <v>99</v>
      </c>
      <c r="E97" s="28" t="n">
        <v>2</v>
      </c>
      <c r="F97" s="29" t="n">
        <v>81.32</v>
      </c>
      <c r="G97" s="10" t="s">
        <v>83</v>
      </c>
      <c r="H97" s="30" t="n">
        <v>44911</v>
      </c>
      <c r="I97" s="10" t="s">
        <v>88</v>
      </c>
    </row>
    <row r="98" customFormat="false" ht="15" hidden="false" customHeight="true" outlineLevel="0" collapsed="false">
      <c r="A98" s="19" t="s">
        <v>200</v>
      </c>
      <c r="B98" s="20" t="s">
        <v>75</v>
      </c>
      <c r="C98" s="21" t="n">
        <v>29</v>
      </c>
      <c r="D98" s="20" t="s">
        <v>113</v>
      </c>
      <c r="E98" s="22" t="n">
        <v>3</v>
      </c>
      <c r="F98" s="23" t="n">
        <v>107.52</v>
      </c>
      <c r="G98" s="20" t="s">
        <v>83</v>
      </c>
      <c r="H98" s="24" t="n">
        <v>44350</v>
      </c>
      <c r="I98" s="20" t="s">
        <v>103</v>
      </c>
    </row>
    <row r="99" customFormat="false" ht="15" hidden="false" customHeight="true" outlineLevel="0" collapsed="false">
      <c r="A99" s="9" t="s">
        <v>201</v>
      </c>
      <c r="B99" s="10" t="s">
        <v>75</v>
      </c>
      <c r="C99" s="27" t="n">
        <v>19</v>
      </c>
      <c r="D99" s="10" t="s">
        <v>76</v>
      </c>
      <c r="E99" s="28" t="n">
        <v>2</v>
      </c>
      <c r="F99" s="29" t="n">
        <v>600.16</v>
      </c>
      <c r="G99" s="10" t="s">
        <v>83</v>
      </c>
      <c r="H99" s="30" t="n">
        <v>44547</v>
      </c>
      <c r="I99" s="10" t="s">
        <v>115</v>
      </c>
    </row>
    <row r="100" customFormat="false" ht="15" hidden="false" customHeight="true" outlineLevel="0" collapsed="false">
      <c r="A100" s="19" t="s">
        <v>202</v>
      </c>
      <c r="B100" s="20" t="s">
        <v>81</v>
      </c>
      <c r="C100" s="21" t="n">
        <v>62</v>
      </c>
      <c r="D100" s="20" t="s">
        <v>76</v>
      </c>
      <c r="E100" s="22" t="n">
        <v>5</v>
      </c>
      <c r="F100" s="23" t="n">
        <v>1500.4</v>
      </c>
      <c r="G100" s="20" t="s">
        <v>77</v>
      </c>
      <c r="H100" s="24" t="n">
        <v>44926</v>
      </c>
      <c r="I100" s="20" t="s">
        <v>91</v>
      </c>
    </row>
    <row r="101" customFormat="false" ht="15" hidden="false" customHeight="true" outlineLevel="0" collapsed="false">
      <c r="A101" s="9" t="s">
        <v>203</v>
      </c>
      <c r="B101" s="10" t="s">
        <v>81</v>
      </c>
      <c r="C101" s="27" t="n">
        <v>39</v>
      </c>
      <c r="D101" s="10" t="s">
        <v>109</v>
      </c>
      <c r="E101" s="28" t="n">
        <v>3</v>
      </c>
      <c r="F101" s="29" t="n">
        <v>15.69</v>
      </c>
      <c r="G101" s="10" t="s">
        <v>87</v>
      </c>
      <c r="H101" s="30" t="n">
        <v>44782</v>
      </c>
      <c r="I101" s="10" t="s">
        <v>84</v>
      </c>
    </row>
    <row r="102" customFormat="false" ht="15" hidden="false" customHeight="true" outlineLevel="0" collapsed="false">
      <c r="A102" s="19" t="s">
        <v>204</v>
      </c>
      <c r="B102" s="20" t="s">
        <v>75</v>
      </c>
      <c r="C102" s="21" t="n">
        <v>33</v>
      </c>
      <c r="D102" s="20" t="s">
        <v>76</v>
      </c>
      <c r="E102" s="22" t="n">
        <v>3</v>
      </c>
      <c r="F102" s="23" t="n">
        <v>900.24</v>
      </c>
      <c r="G102" s="20" t="s">
        <v>87</v>
      </c>
      <c r="H102" s="24" t="n">
        <v>44773</v>
      </c>
      <c r="I102" s="20" t="s">
        <v>78</v>
      </c>
    </row>
    <row r="103" customFormat="false" ht="15" hidden="false" customHeight="true" outlineLevel="0" collapsed="false">
      <c r="A103" s="9" t="s">
        <v>205</v>
      </c>
      <c r="B103" s="10" t="s">
        <v>75</v>
      </c>
      <c r="C103" s="27" t="n">
        <v>26</v>
      </c>
      <c r="D103" s="10" t="s">
        <v>109</v>
      </c>
      <c r="E103" s="28" t="n">
        <v>4</v>
      </c>
      <c r="F103" s="29" t="n">
        <v>20.92</v>
      </c>
      <c r="G103" s="10" t="s">
        <v>83</v>
      </c>
      <c r="H103" s="30" t="n">
        <v>44320</v>
      </c>
      <c r="I103" s="10" t="s">
        <v>103</v>
      </c>
    </row>
    <row r="104" customFormat="false" ht="15" hidden="false" customHeight="true" outlineLevel="0" collapsed="false">
      <c r="A104" s="19" t="s">
        <v>206</v>
      </c>
      <c r="B104" s="20" t="s">
        <v>81</v>
      </c>
      <c r="C104" s="21" t="n">
        <v>43</v>
      </c>
      <c r="D104" s="20" t="s">
        <v>128</v>
      </c>
      <c r="E104" s="22" t="n">
        <v>3</v>
      </c>
      <c r="F104" s="23" t="n">
        <v>3150</v>
      </c>
      <c r="G104" s="20" t="s">
        <v>77</v>
      </c>
      <c r="H104" s="24" t="n">
        <v>44706</v>
      </c>
      <c r="I104" s="20" t="s">
        <v>118</v>
      </c>
    </row>
    <row r="105" customFormat="false" ht="15" hidden="false" customHeight="true" outlineLevel="0" collapsed="false">
      <c r="A105" s="9" t="s">
        <v>207</v>
      </c>
      <c r="B105" s="10" t="s">
        <v>75</v>
      </c>
      <c r="C105" s="27" t="n">
        <v>40</v>
      </c>
      <c r="D105" s="10" t="s">
        <v>109</v>
      </c>
      <c r="E105" s="28" t="n">
        <v>3</v>
      </c>
      <c r="F105" s="29" t="n">
        <v>15.69</v>
      </c>
      <c r="G105" s="10" t="s">
        <v>83</v>
      </c>
      <c r="H105" s="30" t="n">
        <v>44918</v>
      </c>
      <c r="I105" s="10" t="s">
        <v>78</v>
      </c>
    </row>
    <row r="106" customFormat="false" ht="15" hidden="false" customHeight="true" outlineLevel="0" collapsed="false">
      <c r="A106" s="19" t="s">
        <v>208</v>
      </c>
      <c r="B106" s="20" t="s">
        <v>81</v>
      </c>
      <c r="C106" s="21" t="n">
        <v>55</v>
      </c>
      <c r="D106" s="20" t="s">
        <v>76</v>
      </c>
      <c r="E106" s="22" t="n">
        <v>4</v>
      </c>
      <c r="F106" s="23" t="n">
        <v>1200.32</v>
      </c>
      <c r="G106" s="20" t="s">
        <v>77</v>
      </c>
      <c r="H106" s="24" t="n">
        <v>44950</v>
      </c>
      <c r="I106" s="20" t="s">
        <v>78</v>
      </c>
    </row>
    <row r="107" customFormat="false" ht="15" hidden="false" customHeight="true" outlineLevel="0" collapsed="false">
      <c r="A107" s="9" t="s">
        <v>209</v>
      </c>
      <c r="B107" s="10" t="s">
        <v>75</v>
      </c>
      <c r="C107" s="27" t="n">
        <v>24</v>
      </c>
      <c r="D107" s="10" t="s">
        <v>76</v>
      </c>
      <c r="E107" s="28" t="n">
        <v>5</v>
      </c>
      <c r="F107" s="29" t="n">
        <v>1500.4</v>
      </c>
      <c r="G107" s="10" t="s">
        <v>77</v>
      </c>
      <c r="H107" s="30" t="n">
        <v>44453</v>
      </c>
      <c r="I107" s="10" t="s">
        <v>118</v>
      </c>
    </row>
    <row r="108" customFormat="false" ht="15" hidden="false" customHeight="true" outlineLevel="0" collapsed="false">
      <c r="A108" s="19" t="s">
        <v>210</v>
      </c>
      <c r="B108" s="20" t="s">
        <v>81</v>
      </c>
      <c r="C108" s="21" t="n">
        <v>24</v>
      </c>
      <c r="D108" s="20" t="s">
        <v>99</v>
      </c>
      <c r="E108" s="22" t="n">
        <v>1</v>
      </c>
      <c r="F108" s="23" t="n">
        <v>40.66</v>
      </c>
      <c r="G108" s="20" t="s">
        <v>87</v>
      </c>
      <c r="H108" s="24" t="n">
        <v>44596</v>
      </c>
      <c r="I108" s="20" t="s">
        <v>88</v>
      </c>
    </row>
    <row r="109" customFormat="false" ht="15" hidden="false" customHeight="true" outlineLevel="0" collapsed="false">
      <c r="A109" s="9" t="s">
        <v>211</v>
      </c>
      <c r="B109" s="10" t="s">
        <v>75</v>
      </c>
      <c r="C109" s="27" t="n">
        <v>30</v>
      </c>
      <c r="D109" s="10" t="s">
        <v>109</v>
      </c>
      <c r="E109" s="28" t="n">
        <v>5</v>
      </c>
      <c r="F109" s="29" t="n">
        <v>26.15</v>
      </c>
      <c r="G109" s="10" t="s">
        <v>77</v>
      </c>
      <c r="H109" s="30" t="n">
        <v>44567</v>
      </c>
      <c r="I109" s="10" t="s">
        <v>88</v>
      </c>
    </row>
    <row r="110" customFormat="false" ht="15" hidden="false" customHeight="true" outlineLevel="0" collapsed="false">
      <c r="A110" s="19" t="s">
        <v>212</v>
      </c>
      <c r="B110" s="20" t="s">
        <v>81</v>
      </c>
      <c r="C110" s="21" t="n">
        <v>34</v>
      </c>
      <c r="D110" s="20" t="s">
        <v>76</v>
      </c>
      <c r="E110" s="22" t="n">
        <v>5</v>
      </c>
      <c r="F110" s="23" t="n">
        <v>1500.4</v>
      </c>
      <c r="G110" s="20" t="s">
        <v>77</v>
      </c>
      <c r="H110" s="24" t="n">
        <v>44593</v>
      </c>
      <c r="I110" s="20" t="s">
        <v>103</v>
      </c>
    </row>
    <row r="111" customFormat="false" ht="15" hidden="false" customHeight="true" outlineLevel="0" collapsed="false">
      <c r="A111" s="9" t="s">
        <v>213</v>
      </c>
      <c r="B111" s="10" t="s">
        <v>75</v>
      </c>
      <c r="C111" s="27" t="n">
        <v>64</v>
      </c>
      <c r="D111" s="10" t="s">
        <v>76</v>
      </c>
      <c r="E111" s="28" t="n">
        <v>5</v>
      </c>
      <c r="F111" s="29" t="n">
        <v>1500.4</v>
      </c>
      <c r="G111" s="10" t="s">
        <v>87</v>
      </c>
      <c r="H111" s="30" t="n">
        <v>44860</v>
      </c>
      <c r="I111" s="10" t="s">
        <v>115</v>
      </c>
    </row>
    <row r="112" customFormat="false" ht="15" hidden="false" customHeight="true" outlineLevel="0" collapsed="false">
      <c r="A112" s="19" t="s">
        <v>214</v>
      </c>
      <c r="B112" s="20" t="s">
        <v>75</v>
      </c>
      <c r="C112" s="21" t="n">
        <v>57</v>
      </c>
      <c r="D112" s="20" t="s">
        <v>76</v>
      </c>
      <c r="E112" s="22" t="n">
        <v>5</v>
      </c>
      <c r="F112" s="23" t="n">
        <v>1500.4</v>
      </c>
      <c r="G112" s="20" t="s">
        <v>87</v>
      </c>
      <c r="H112" s="24" t="n">
        <v>44825</v>
      </c>
      <c r="I112" s="20" t="s">
        <v>103</v>
      </c>
    </row>
    <row r="113" customFormat="false" ht="15" hidden="false" customHeight="true" outlineLevel="0" collapsed="false">
      <c r="A113" s="9" t="s">
        <v>215</v>
      </c>
      <c r="B113" s="10" t="s">
        <v>81</v>
      </c>
      <c r="C113" s="27" t="n">
        <v>18</v>
      </c>
      <c r="D113" s="10" t="s">
        <v>99</v>
      </c>
      <c r="E113" s="28" t="n">
        <v>4</v>
      </c>
      <c r="F113" s="29" t="n">
        <v>162.64</v>
      </c>
      <c r="G113" s="10" t="s">
        <v>77</v>
      </c>
      <c r="H113" s="30" t="n">
        <v>44542</v>
      </c>
      <c r="I113" s="10" t="s">
        <v>100</v>
      </c>
    </row>
    <row r="114" customFormat="false" ht="15" hidden="false" customHeight="true" outlineLevel="0" collapsed="false">
      <c r="A114" s="19" t="s">
        <v>216</v>
      </c>
      <c r="B114" s="20" t="s">
        <v>75</v>
      </c>
      <c r="C114" s="21" t="n">
        <v>26</v>
      </c>
      <c r="D114" s="20" t="s">
        <v>76</v>
      </c>
      <c r="E114" s="22" t="n">
        <v>4</v>
      </c>
      <c r="F114" s="23" t="n">
        <v>1200.32</v>
      </c>
      <c r="G114" s="20" t="s">
        <v>87</v>
      </c>
      <c r="H114" s="24" t="n">
        <v>44429</v>
      </c>
      <c r="I114" s="20" t="s">
        <v>121</v>
      </c>
    </row>
    <row r="115" customFormat="false" ht="15" hidden="false" customHeight="true" outlineLevel="0" collapsed="false">
      <c r="A115" s="9" t="s">
        <v>217</v>
      </c>
      <c r="B115" s="10" t="s">
        <v>75</v>
      </c>
      <c r="C115" s="27" t="n">
        <v>19</v>
      </c>
      <c r="D115" s="10" t="s">
        <v>109</v>
      </c>
      <c r="E115" s="28" t="n">
        <v>3</v>
      </c>
      <c r="F115" s="29" t="n">
        <v>15.69</v>
      </c>
      <c r="G115" s="10" t="s">
        <v>83</v>
      </c>
      <c r="H115" s="30" t="n">
        <v>44477</v>
      </c>
      <c r="I115" s="10" t="s">
        <v>111</v>
      </c>
    </row>
    <row r="116" customFormat="false" ht="15" hidden="false" customHeight="true" outlineLevel="0" collapsed="false">
      <c r="A116" s="19" t="s">
        <v>218</v>
      </c>
      <c r="B116" s="20" t="s">
        <v>75</v>
      </c>
      <c r="C116" s="21" t="n">
        <v>22</v>
      </c>
      <c r="D116" s="20" t="s">
        <v>94</v>
      </c>
      <c r="E116" s="22" t="n">
        <v>3</v>
      </c>
      <c r="F116" s="23" t="n">
        <v>45.45</v>
      </c>
      <c r="G116" s="20" t="s">
        <v>87</v>
      </c>
      <c r="H116" s="24" t="n">
        <v>44522</v>
      </c>
      <c r="I116" s="20" t="s">
        <v>78</v>
      </c>
    </row>
    <row r="117" customFormat="false" ht="15" hidden="false" customHeight="true" outlineLevel="0" collapsed="false">
      <c r="A117" s="9" t="s">
        <v>219</v>
      </c>
      <c r="B117" s="10" t="s">
        <v>81</v>
      </c>
      <c r="C117" s="27" t="n">
        <v>48</v>
      </c>
      <c r="D117" s="10" t="s">
        <v>76</v>
      </c>
      <c r="E117" s="28" t="n">
        <v>1</v>
      </c>
      <c r="F117" s="29" t="n">
        <v>300.08</v>
      </c>
      <c r="G117" s="10" t="s">
        <v>87</v>
      </c>
      <c r="H117" s="30" t="n">
        <v>44639</v>
      </c>
      <c r="I117" s="10" t="s">
        <v>78</v>
      </c>
    </row>
    <row r="118" customFormat="false" ht="15" hidden="false" customHeight="true" outlineLevel="0" collapsed="false">
      <c r="A118" s="19" t="s">
        <v>220</v>
      </c>
      <c r="B118" s="20" t="s">
        <v>75</v>
      </c>
      <c r="C118" s="21" t="n">
        <v>56</v>
      </c>
      <c r="D118" s="20" t="s">
        <v>173</v>
      </c>
      <c r="E118" s="22" t="n">
        <v>5</v>
      </c>
      <c r="F118" s="23" t="n">
        <v>58.65</v>
      </c>
      <c r="G118" s="20" t="s">
        <v>87</v>
      </c>
      <c r="H118" s="24" t="n">
        <v>44853</v>
      </c>
      <c r="I118" s="20" t="s">
        <v>100</v>
      </c>
    </row>
    <row r="119" customFormat="false" ht="15" hidden="false" customHeight="true" outlineLevel="0" collapsed="false">
      <c r="A119" s="9" t="s">
        <v>221</v>
      </c>
      <c r="B119" s="10" t="s">
        <v>81</v>
      </c>
      <c r="C119" s="27" t="n">
        <v>35</v>
      </c>
      <c r="D119" s="10" t="s">
        <v>76</v>
      </c>
      <c r="E119" s="28" t="n">
        <v>2</v>
      </c>
      <c r="F119" s="29" t="n">
        <v>600.16</v>
      </c>
      <c r="G119" s="10" t="s">
        <v>87</v>
      </c>
      <c r="H119" s="30" t="n">
        <v>44573</v>
      </c>
      <c r="I119" s="10" t="s">
        <v>118</v>
      </c>
    </row>
    <row r="120" customFormat="false" ht="15" hidden="false" customHeight="true" outlineLevel="0" collapsed="false">
      <c r="A120" s="19" t="s">
        <v>222</v>
      </c>
      <c r="B120" s="20" t="s">
        <v>75</v>
      </c>
      <c r="C120" s="21" t="n">
        <v>60</v>
      </c>
      <c r="D120" s="20" t="s">
        <v>113</v>
      </c>
      <c r="E120" s="22" t="n">
        <v>4</v>
      </c>
      <c r="F120" s="23" t="n">
        <v>143.36</v>
      </c>
      <c r="G120" s="20" t="s">
        <v>83</v>
      </c>
      <c r="H120" s="24" t="n">
        <v>44354</v>
      </c>
      <c r="I120" s="20" t="s">
        <v>88</v>
      </c>
    </row>
    <row r="121" customFormat="false" ht="15" hidden="false" customHeight="true" outlineLevel="0" collapsed="false">
      <c r="A121" s="9" t="s">
        <v>223</v>
      </c>
      <c r="B121" s="10" t="s">
        <v>75</v>
      </c>
      <c r="C121" s="27" t="n">
        <v>32</v>
      </c>
      <c r="D121" s="10" t="s">
        <v>76</v>
      </c>
      <c r="E121" s="28" t="n">
        <v>1</v>
      </c>
      <c r="F121" s="29" t="n">
        <v>300.08</v>
      </c>
      <c r="G121" s="10" t="s">
        <v>77</v>
      </c>
      <c r="H121" s="30" t="n">
        <v>44941</v>
      </c>
      <c r="I121" s="10" t="s">
        <v>84</v>
      </c>
    </row>
    <row r="122" customFormat="false" ht="15" hidden="false" customHeight="true" outlineLevel="0" collapsed="false">
      <c r="A122" s="19" t="s">
        <v>224</v>
      </c>
      <c r="B122" s="20" t="s">
        <v>81</v>
      </c>
      <c r="C122" s="21" t="n">
        <v>27</v>
      </c>
      <c r="D122" s="20" t="s">
        <v>76</v>
      </c>
      <c r="E122" s="22" t="n">
        <v>4</v>
      </c>
      <c r="F122" s="23" t="n">
        <v>1200.32</v>
      </c>
      <c r="G122" s="20" t="s">
        <v>77</v>
      </c>
      <c r="H122" s="24" t="n">
        <v>44511</v>
      </c>
      <c r="I122" s="20" t="s">
        <v>78</v>
      </c>
    </row>
    <row r="123" customFormat="false" ht="15" hidden="false" customHeight="true" outlineLevel="0" collapsed="false">
      <c r="A123" s="9" t="s">
        <v>225</v>
      </c>
      <c r="B123" s="10" t="s">
        <v>75</v>
      </c>
      <c r="C123" s="27" t="n">
        <v>56</v>
      </c>
      <c r="D123" s="10" t="s">
        <v>76</v>
      </c>
      <c r="E123" s="28" t="n">
        <v>2</v>
      </c>
      <c r="F123" s="29" t="n">
        <v>600.16</v>
      </c>
      <c r="G123" s="10" t="s">
        <v>77</v>
      </c>
      <c r="H123" s="30" t="n">
        <v>44825</v>
      </c>
      <c r="I123" s="10" t="s">
        <v>100</v>
      </c>
    </row>
    <row r="124" customFormat="false" ht="15" hidden="false" customHeight="true" outlineLevel="0" collapsed="false">
      <c r="A124" s="19" t="s">
        <v>226</v>
      </c>
      <c r="B124" s="20" t="s">
        <v>81</v>
      </c>
      <c r="C124" s="21" t="n">
        <v>35</v>
      </c>
      <c r="D124" s="20" t="s">
        <v>99</v>
      </c>
      <c r="E124" s="22" t="n">
        <v>4</v>
      </c>
      <c r="F124" s="23" t="n">
        <v>162.64</v>
      </c>
      <c r="G124" s="20" t="s">
        <v>83</v>
      </c>
      <c r="H124" s="24" t="n">
        <v>44346</v>
      </c>
      <c r="I124" s="20" t="s">
        <v>88</v>
      </c>
    </row>
    <row r="125" customFormat="false" ht="15" hidden="false" customHeight="true" outlineLevel="0" collapsed="false">
      <c r="A125" s="9" t="s">
        <v>227</v>
      </c>
      <c r="B125" s="10" t="s">
        <v>75</v>
      </c>
      <c r="C125" s="27" t="n">
        <v>68</v>
      </c>
      <c r="D125" s="10" t="s">
        <v>76</v>
      </c>
      <c r="E125" s="28" t="n">
        <v>1</v>
      </c>
      <c r="F125" s="29" t="n">
        <v>300.08</v>
      </c>
      <c r="G125" s="10" t="s">
        <v>77</v>
      </c>
      <c r="H125" s="30" t="n">
        <v>44553</v>
      </c>
      <c r="I125" s="10" t="s">
        <v>91</v>
      </c>
    </row>
    <row r="126" customFormat="false" ht="15" hidden="false" customHeight="true" outlineLevel="0" collapsed="false">
      <c r="A126" s="19" t="s">
        <v>228</v>
      </c>
      <c r="B126" s="20" t="s">
        <v>75</v>
      </c>
      <c r="C126" s="21" t="n">
        <v>64</v>
      </c>
      <c r="D126" s="20" t="s">
        <v>128</v>
      </c>
      <c r="E126" s="22" t="n">
        <v>2</v>
      </c>
      <c r="F126" s="23" t="n">
        <v>2100</v>
      </c>
      <c r="G126" s="20" t="s">
        <v>87</v>
      </c>
      <c r="H126" s="24" t="n">
        <v>44681</v>
      </c>
      <c r="I126" s="20" t="s">
        <v>78</v>
      </c>
    </row>
    <row r="127" customFormat="false" ht="15" hidden="false" customHeight="true" outlineLevel="0" collapsed="false">
      <c r="A127" s="9" t="s">
        <v>229</v>
      </c>
      <c r="B127" s="10" t="s">
        <v>75</v>
      </c>
      <c r="C127" s="27" t="n">
        <v>60</v>
      </c>
      <c r="D127" s="10" t="s">
        <v>113</v>
      </c>
      <c r="E127" s="28" t="n">
        <v>4</v>
      </c>
      <c r="F127" s="29" t="n">
        <v>143.36</v>
      </c>
      <c r="G127" s="10" t="s">
        <v>87</v>
      </c>
      <c r="H127" s="30" t="n">
        <v>44354</v>
      </c>
      <c r="I127" s="10" t="s">
        <v>84</v>
      </c>
    </row>
    <row r="128" customFormat="false" ht="15" hidden="false" customHeight="true" outlineLevel="0" collapsed="false">
      <c r="A128" s="19" t="s">
        <v>230</v>
      </c>
      <c r="B128" s="20" t="s">
        <v>81</v>
      </c>
      <c r="C128" s="21" t="n">
        <v>64</v>
      </c>
      <c r="D128" s="20" t="s">
        <v>113</v>
      </c>
      <c r="E128" s="22" t="n">
        <v>5</v>
      </c>
      <c r="F128" s="23" t="n">
        <v>179.2</v>
      </c>
      <c r="G128" s="20" t="s">
        <v>83</v>
      </c>
      <c r="H128" s="24" t="n">
        <v>44613</v>
      </c>
      <c r="I128" s="20" t="s">
        <v>78</v>
      </c>
    </row>
    <row r="129" customFormat="false" ht="15" hidden="false" customHeight="true" outlineLevel="0" collapsed="false">
      <c r="A129" s="9" t="s">
        <v>231</v>
      </c>
      <c r="B129" s="10" t="s">
        <v>75</v>
      </c>
      <c r="C129" s="27" t="n">
        <v>41</v>
      </c>
      <c r="D129" s="10" t="s">
        <v>76</v>
      </c>
      <c r="E129" s="28" t="n">
        <v>3</v>
      </c>
      <c r="F129" s="29" t="n">
        <v>900.24</v>
      </c>
      <c r="G129" s="10" t="s">
        <v>83</v>
      </c>
      <c r="H129" s="30" t="n">
        <v>44434</v>
      </c>
      <c r="I129" s="10" t="s">
        <v>111</v>
      </c>
    </row>
    <row r="130" customFormat="false" ht="15" hidden="false" customHeight="true" outlineLevel="0" collapsed="false">
      <c r="A130" s="19" t="s">
        <v>232</v>
      </c>
      <c r="B130" s="20" t="s">
        <v>81</v>
      </c>
      <c r="C130" s="21" t="n">
        <v>30</v>
      </c>
      <c r="D130" s="20" t="s">
        <v>109</v>
      </c>
      <c r="E130" s="22" t="n">
        <v>5</v>
      </c>
      <c r="F130" s="23" t="n">
        <v>26.15</v>
      </c>
      <c r="G130" s="20" t="s">
        <v>87</v>
      </c>
      <c r="H130" s="24" t="n">
        <v>44545</v>
      </c>
      <c r="I130" s="20" t="s">
        <v>88</v>
      </c>
    </row>
    <row r="131" customFormat="false" ht="15" hidden="false" customHeight="true" outlineLevel="0" collapsed="false">
      <c r="A131" s="9" t="s">
        <v>233</v>
      </c>
      <c r="B131" s="10" t="s">
        <v>81</v>
      </c>
      <c r="C131" s="27" t="n">
        <v>40</v>
      </c>
      <c r="D131" s="10" t="s">
        <v>76</v>
      </c>
      <c r="E131" s="28" t="n">
        <v>1</v>
      </c>
      <c r="F131" s="29" t="n">
        <v>300.08</v>
      </c>
      <c r="G131" s="10" t="s">
        <v>83</v>
      </c>
      <c r="H131" s="30" t="n">
        <v>44247</v>
      </c>
      <c r="I131" s="10" t="s">
        <v>103</v>
      </c>
    </row>
    <row r="132" customFormat="false" ht="15" hidden="false" customHeight="true" outlineLevel="0" collapsed="false">
      <c r="A132" s="19" t="s">
        <v>234</v>
      </c>
      <c r="B132" s="20" t="s">
        <v>75</v>
      </c>
      <c r="C132" s="21" t="n">
        <v>29</v>
      </c>
      <c r="D132" s="20" t="s">
        <v>76</v>
      </c>
      <c r="E132" s="22" t="n">
        <v>2</v>
      </c>
      <c r="F132" s="23" t="n">
        <v>600.16</v>
      </c>
      <c r="G132" s="20" t="s">
        <v>87</v>
      </c>
      <c r="H132" s="24" t="n">
        <v>44477</v>
      </c>
      <c r="I132" s="20" t="s">
        <v>78</v>
      </c>
    </row>
    <row r="133" customFormat="false" ht="15" hidden="false" customHeight="true" outlineLevel="0" collapsed="false">
      <c r="A133" s="9" t="s">
        <v>235</v>
      </c>
      <c r="B133" s="10" t="s">
        <v>81</v>
      </c>
      <c r="C133" s="27" t="n">
        <v>25</v>
      </c>
      <c r="D133" s="10" t="s">
        <v>76</v>
      </c>
      <c r="E133" s="28" t="n">
        <v>3</v>
      </c>
      <c r="F133" s="29" t="n">
        <v>900.24</v>
      </c>
      <c r="G133" s="10" t="s">
        <v>87</v>
      </c>
      <c r="H133" s="30" t="n">
        <v>44774</v>
      </c>
      <c r="I133" s="10" t="s">
        <v>103</v>
      </c>
    </row>
    <row r="134" customFormat="false" ht="15" hidden="false" customHeight="true" outlineLevel="0" collapsed="false">
      <c r="A134" s="19" t="s">
        <v>236</v>
      </c>
      <c r="B134" s="20" t="s">
        <v>75</v>
      </c>
      <c r="C134" s="21" t="n">
        <v>60</v>
      </c>
      <c r="D134" s="20" t="s">
        <v>76</v>
      </c>
      <c r="E134" s="22" t="n">
        <v>4</v>
      </c>
      <c r="F134" s="23" t="n">
        <v>1200.32</v>
      </c>
      <c r="G134" s="20" t="s">
        <v>87</v>
      </c>
      <c r="H134" s="24" t="n">
        <v>44448</v>
      </c>
      <c r="I134" s="20" t="s">
        <v>78</v>
      </c>
    </row>
    <row r="135" customFormat="false" ht="15" hidden="false" customHeight="true" outlineLevel="0" collapsed="false">
      <c r="A135" s="9" t="s">
        <v>237</v>
      </c>
      <c r="B135" s="10" t="s">
        <v>75</v>
      </c>
      <c r="C135" s="27" t="n">
        <v>42</v>
      </c>
      <c r="D135" s="10" t="s">
        <v>109</v>
      </c>
      <c r="E135" s="28" t="n">
        <v>5</v>
      </c>
      <c r="F135" s="29" t="n">
        <v>26.15</v>
      </c>
      <c r="G135" s="10" t="s">
        <v>87</v>
      </c>
      <c r="H135" s="30" t="n">
        <v>44494</v>
      </c>
      <c r="I135" s="10" t="s">
        <v>88</v>
      </c>
    </row>
    <row r="136" customFormat="false" ht="15" hidden="false" customHeight="true" outlineLevel="0" collapsed="false">
      <c r="A136" s="19" t="s">
        <v>238</v>
      </c>
      <c r="B136" s="20" t="s">
        <v>81</v>
      </c>
      <c r="C136" s="21" t="n">
        <v>54</v>
      </c>
      <c r="D136" s="20" t="s">
        <v>109</v>
      </c>
      <c r="E136" s="22" t="n">
        <v>1</v>
      </c>
      <c r="F136" s="23" t="n">
        <v>5.23</v>
      </c>
      <c r="G136" s="20" t="s">
        <v>87</v>
      </c>
      <c r="H136" s="24" t="n">
        <v>44544</v>
      </c>
      <c r="I136" s="20" t="s">
        <v>91</v>
      </c>
    </row>
    <row r="137" customFormat="false" ht="15" hidden="false" customHeight="true" outlineLevel="0" collapsed="false">
      <c r="A137" s="9" t="s">
        <v>239</v>
      </c>
      <c r="B137" s="10" t="s">
        <v>75</v>
      </c>
      <c r="C137" s="27" t="n">
        <v>50</v>
      </c>
      <c r="D137" s="10" t="s">
        <v>76</v>
      </c>
      <c r="E137" s="28" t="n">
        <v>5</v>
      </c>
      <c r="F137" s="29" t="n">
        <v>1500.4</v>
      </c>
      <c r="G137" s="10" t="s">
        <v>87</v>
      </c>
      <c r="H137" s="30" t="n">
        <v>44367</v>
      </c>
      <c r="I137" s="10" t="s">
        <v>78</v>
      </c>
    </row>
    <row r="138" customFormat="false" ht="15" hidden="false" customHeight="true" outlineLevel="0" collapsed="false">
      <c r="A138" s="19" t="s">
        <v>240</v>
      </c>
      <c r="B138" s="20" t="s">
        <v>81</v>
      </c>
      <c r="C138" s="21" t="n">
        <v>54</v>
      </c>
      <c r="D138" s="20" t="s">
        <v>76</v>
      </c>
      <c r="E138" s="22" t="n">
        <v>1</v>
      </c>
      <c r="F138" s="23" t="n">
        <v>300.08</v>
      </c>
      <c r="G138" s="20" t="s">
        <v>83</v>
      </c>
      <c r="H138" s="24" t="n">
        <v>44293</v>
      </c>
      <c r="I138" s="20" t="s">
        <v>91</v>
      </c>
    </row>
    <row r="139" customFormat="false" ht="15" hidden="false" customHeight="true" outlineLevel="0" collapsed="false">
      <c r="A139" s="9" t="s">
        <v>241</v>
      </c>
      <c r="B139" s="10" t="s">
        <v>75</v>
      </c>
      <c r="C139" s="27" t="n">
        <v>45</v>
      </c>
      <c r="D139" s="10" t="s">
        <v>94</v>
      </c>
      <c r="E139" s="28" t="n">
        <v>4</v>
      </c>
      <c r="F139" s="29" t="n">
        <v>60.6</v>
      </c>
      <c r="G139" s="10" t="s">
        <v>87</v>
      </c>
      <c r="H139" s="30" t="n">
        <v>44535</v>
      </c>
      <c r="I139" s="10" t="s">
        <v>88</v>
      </c>
    </row>
    <row r="140" customFormat="false" ht="15" hidden="false" customHeight="true" outlineLevel="0" collapsed="false">
      <c r="A140" s="19" t="s">
        <v>242</v>
      </c>
      <c r="B140" s="20" t="s">
        <v>75</v>
      </c>
      <c r="C140" s="21" t="n">
        <v>40</v>
      </c>
      <c r="D140" s="20" t="s">
        <v>99</v>
      </c>
      <c r="E140" s="22" t="n">
        <v>1</v>
      </c>
      <c r="F140" s="23" t="n">
        <v>40.66</v>
      </c>
      <c r="G140" s="20" t="s">
        <v>77</v>
      </c>
      <c r="H140" s="24" t="n">
        <v>44341</v>
      </c>
      <c r="I140" s="20" t="s">
        <v>121</v>
      </c>
    </row>
    <row r="141" customFormat="false" ht="15" hidden="false" customHeight="true" outlineLevel="0" collapsed="false">
      <c r="A141" s="9" t="s">
        <v>243</v>
      </c>
      <c r="B141" s="10" t="s">
        <v>81</v>
      </c>
      <c r="C141" s="27" t="n">
        <v>24</v>
      </c>
      <c r="D141" s="10" t="s">
        <v>94</v>
      </c>
      <c r="E141" s="28" t="n">
        <v>3</v>
      </c>
      <c r="F141" s="29" t="n">
        <v>45.45</v>
      </c>
      <c r="G141" s="10" t="s">
        <v>77</v>
      </c>
      <c r="H141" s="30" t="n">
        <v>44663</v>
      </c>
      <c r="I141" s="10" t="s">
        <v>88</v>
      </c>
    </row>
    <row r="142" customFormat="false" ht="15" hidden="false" customHeight="true" outlineLevel="0" collapsed="false">
      <c r="A142" s="19" t="s">
        <v>244</v>
      </c>
      <c r="B142" s="20" t="s">
        <v>81</v>
      </c>
      <c r="C142" s="21" t="n">
        <v>40</v>
      </c>
      <c r="D142" s="20" t="s">
        <v>76</v>
      </c>
      <c r="E142" s="22" t="n">
        <v>4</v>
      </c>
      <c r="F142" s="23" t="n">
        <v>1200.32</v>
      </c>
      <c r="G142" s="20" t="s">
        <v>87</v>
      </c>
      <c r="H142" s="24" t="n">
        <v>44546</v>
      </c>
      <c r="I142" s="20" t="s">
        <v>103</v>
      </c>
    </row>
    <row r="143" customFormat="false" ht="15" hidden="false" customHeight="true" outlineLevel="0" collapsed="false">
      <c r="A143" s="9" t="s">
        <v>245</v>
      </c>
      <c r="B143" s="10" t="s">
        <v>75</v>
      </c>
      <c r="C143" s="27" t="n">
        <v>32</v>
      </c>
      <c r="D143" s="10" t="s">
        <v>128</v>
      </c>
      <c r="E143" s="28" t="n">
        <v>2</v>
      </c>
      <c r="F143" s="29" t="n">
        <v>2100</v>
      </c>
      <c r="G143" s="10" t="s">
        <v>77</v>
      </c>
      <c r="H143" s="30" t="n">
        <v>44248</v>
      </c>
      <c r="I143" s="10" t="s">
        <v>91</v>
      </c>
    </row>
    <row r="144" customFormat="false" ht="15" hidden="false" customHeight="true" outlineLevel="0" collapsed="false">
      <c r="A144" s="19" t="s">
        <v>246</v>
      </c>
      <c r="B144" s="20" t="s">
        <v>75</v>
      </c>
      <c r="C144" s="21" t="n">
        <v>28</v>
      </c>
      <c r="D144" s="20" t="s">
        <v>76</v>
      </c>
      <c r="E144" s="22" t="n">
        <v>3</v>
      </c>
      <c r="F144" s="23" t="n">
        <v>900.24</v>
      </c>
      <c r="G144" s="20" t="s">
        <v>87</v>
      </c>
      <c r="H144" s="24" t="n">
        <v>44495</v>
      </c>
      <c r="I144" s="20" t="s">
        <v>103</v>
      </c>
    </row>
    <row r="145" customFormat="false" ht="15" hidden="false" customHeight="true" outlineLevel="0" collapsed="false">
      <c r="A145" s="9" t="s">
        <v>247</v>
      </c>
      <c r="B145" s="10" t="s">
        <v>75</v>
      </c>
      <c r="C145" s="27" t="n">
        <v>22</v>
      </c>
      <c r="D145" s="10" t="s">
        <v>113</v>
      </c>
      <c r="E145" s="28" t="n">
        <v>1</v>
      </c>
      <c r="F145" s="29" t="n">
        <v>35.84</v>
      </c>
      <c r="G145" s="10" t="s">
        <v>87</v>
      </c>
      <c r="H145" s="30" t="n">
        <v>44913</v>
      </c>
      <c r="I145" s="10" t="s">
        <v>103</v>
      </c>
    </row>
    <row r="146" customFormat="false" ht="15" hidden="false" customHeight="true" outlineLevel="0" collapsed="false">
      <c r="A146" s="19" t="s">
        <v>248</v>
      </c>
      <c r="B146" s="20" t="s">
        <v>75</v>
      </c>
      <c r="C146" s="21" t="n">
        <v>21</v>
      </c>
      <c r="D146" s="20" t="s">
        <v>76</v>
      </c>
      <c r="E146" s="22" t="n">
        <v>1</v>
      </c>
      <c r="F146" s="23" t="n">
        <v>300.08</v>
      </c>
      <c r="G146" s="20" t="s">
        <v>77</v>
      </c>
      <c r="H146" s="24" t="n">
        <v>44823</v>
      </c>
      <c r="I146" s="20" t="s">
        <v>88</v>
      </c>
    </row>
    <row r="147" customFormat="false" ht="15" hidden="false" customHeight="true" outlineLevel="0" collapsed="false">
      <c r="A147" s="9" t="s">
        <v>249</v>
      </c>
      <c r="B147" s="10" t="s">
        <v>75</v>
      </c>
      <c r="C147" s="27" t="n">
        <v>31</v>
      </c>
      <c r="D147" s="10" t="s">
        <v>76</v>
      </c>
      <c r="E147" s="28" t="n">
        <v>2</v>
      </c>
      <c r="F147" s="29" t="n">
        <v>600.16</v>
      </c>
      <c r="G147" s="10" t="s">
        <v>77</v>
      </c>
      <c r="H147" s="30" t="n">
        <v>44958</v>
      </c>
      <c r="I147" s="10" t="s">
        <v>78</v>
      </c>
    </row>
    <row r="148" customFormat="false" ht="15" hidden="false" customHeight="true" outlineLevel="0" collapsed="false">
      <c r="A148" s="19" t="s">
        <v>250</v>
      </c>
      <c r="B148" s="20" t="s">
        <v>75</v>
      </c>
      <c r="C148" s="21" t="n">
        <v>61</v>
      </c>
      <c r="D148" s="20" t="s">
        <v>109</v>
      </c>
      <c r="E148" s="22" t="n">
        <v>3</v>
      </c>
      <c r="F148" s="23" t="n">
        <v>15.69</v>
      </c>
      <c r="G148" s="20" t="s">
        <v>77</v>
      </c>
      <c r="H148" s="24" t="n">
        <v>44839</v>
      </c>
      <c r="I148" s="20" t="s">
        <v>103</v>
      </c>
    </row>
    <row r="149" customFormat="false" ht="15" hidden="false" customHeight="true" outlineLevel="0" collapsed="false">
      <c r="A149" s="9" t="s">
        <v>251</v>
      </c>
      <c r="B149" s="10" t="s">
        <v>75</v>
      </c>
      <c r="C149" s="27" t="n">
        <v>67</v>
      </c>
      <c r="D149" s="10" t="s">
        <v>99</v>
      </c>
      <c r="E149" s="28" t="n">
        <v>2</v>
      </c>
      <c r="F149" s="29" t="n">
        <v>81.32</v>
      </c>
      <c r="G149" s="10" t="s">
        <v>87</v>
      </c>
      <c r="H149" s="30" t="n">
        <v>44528</v>
      </c>
      <c r="I149" s="10" t="s">
        <v>78</v>
      </c>
    </row>
    <row r="150" customFormat="false" ht="15" hidden="false" customHeight="true" outlineLevel="0" collapsed="false">
      <c r="A150" s="19" t="s">
        <v>252</v>
      </c>
      <c r="B150" s="20" t="s">
        <v>81</v>
      </c>
      <c r="C150" s="21" t="n">
        <v>52</v>
      </c>
      <c r="D150" s="20" t="s">
        <v>82</v>
      </c>
      <c r="E150" s="22" t="n">
        <v>5</v>
      </c>
      <c r="F150" s="23" t="n">
        <v>3000.85</v>
      </c>
      <c r="G150" s="20" t="s">
        <v>87</v>
      </c>
      <c r="H150" s="24" t="n">
        <v>44411</v>
      </c>
      <c r="I150" s="20" t="s">
        <v>78</v>
      </c>
    </row>
    <row r="151" customFormat="false" ht="15" hidden="false" customHeight="true" outlineLevel="0" collapsed="false">
      <c r="A151" s="9" t="s">
        <v>253</v>
      </c>
      <c r="B151" s="10" t="s">
        <v>81</v>
      </c>
      <c r="C151" s="27" t="n">
        <v>44</v>
      </c>
      <c r="D151" s="10" t="s">
        <v>76</v>
      </c>
      <c r="E151" s="28" t="n">
        <v>4</v>
      </c>
      <c r="F151" s="29" t="n">
        <v>1200.32</v>
      </c>
      <c r="G151" s="10" t="s">
        <v>77</v>
      </c>
      <c r="H151" s="30" t="n">
        <v>44846</v>
      </c>
      <c r="I151" s="10" t="s">
        <v>91</v>
      </c>
    </row>
    <row r="152" customFormat="false" ht="15" hidden="false" customHeight="true" outlineLevel="0" collapsed="false">
      <c r="A152" s="19" t="s">
        <v>254</v>
      </c>
      <c r="B152" s="20" t="s">
        <v>75</v>
      </c>
      <c r="C152" s="21" t="n">
        <v>48</v>
      </c>
      <c r="D152" s="20" t="s">
        <v>109</v>
      </c>
      <c r="E152" s="22" t="n">
        <v>2</v>
      </c>
      <c r="F152" s="23" t="n">
        <v>10.46</v>
      </c>
      <c r="G152" s="20" t="s">
        <v>77</v>
      </c>
      <c r="H152" s="24" t="n">
        <v>44832</v>
      </c>
      <c r="I152" s="20" t="s">
        <v>78</v>
      </c>
    </row>
    <row r="153" customFormat="false" ht="15" hidden="false" customHeight="true" outlineLevel="0" collapsed="false">
      <c r="A153" s="9" t="s">
        <v>255</v>
      </c>
      <c r="B153" s="10" t="s">
        <v>75</v>
      </c>
      <c r="C153" s="27" t="n">
        <v>53</v>
      </c>
      <c r="D153" s="10" t="s">
        <v>109</v>
      </c>
      <c r="E153" s="28" t="n">
        <v>3</v>
      </c>
      <c r="F153" s="29" t="n">
        <v>15.69</v>
      </c>
      <c r="G153" s="10" t="s">
        <v>87</v>
      </c>
      <c r="H153" s="30" t="n">
        <v>44389</v>
      </c>
      <c r="I153" s="10" t="s">
        <v>88</v>
      </c>
    </row>
    <row r="154" customFormat="false" ht="15" hidden="false" customHeight="true" outlineLevel="0" collapsed="false">
      <c r="A154" s="19" t="s">
        <v>256</v>
      </c>
      <c r="B154" s="20" t="s">
        <v>81</v>
      </c>
      <c r="C154" s="21" t="n">
        <v>27</v>
      </c>
      <c r="D154" s="20" t="s">
        <v>113</v>
      </c>
      <c r="E154" s="22" t="n">
        <v>4</v>
      </c>
      <c r="F154" s="23" t="n">
        <v>143.36</v>
      </c>
      <c r="G154" s="20" t="s">
        <v>87</v>
      </c>
      <c r="H154" s="24" t="n">
        <v>44380</v>
      </c>
      <c r="I154" s="20" t="s">
        <v>103</v>
      </c>
    </row>
    <row r="155" customFormat="false" ht="15" hidden="false" customHeight="true" outlineLevel="0" collapsed="false">
      <c r="A155" s="9" t="s">
        <v>257</v>
      </c>
      <c r="B155" s="10" t="s">
        <v>75</v>
      </c>
      <c r="C155" s="27" t="n">
        <v>28</v>
      </c>
      <c r="D155" s="10" t="s">
        <v>99</v>
      </c>
      <c r="E155" s="28" t="n">
        <v>4</v>
      </c>
      <c r="F155" s="29" t="n">
        <v>162.64</v>
      </c>
      <c r="G155" s="10" t="s">
        <v>87</v>
      </c>
      <c r="H155" s="30" t="n">
        <v>44646</v>
      </c>
      <c r="I155" s="10" t="s">
        <v>118</v>
      </c>
    </row>
    <row r="156" customFormat="false" ht="15" hidden="false" customHeight="true" outlineLevel="0" collapsed="false">
      <c r="A156" s="19" t="s">
        <v>258</v>
      </c>
      <c r="B156" s="20" t="s">
        <v>75</v>
      </c>
      <c r="C156" s="21" t="n">
        <v>43</v>
      </c>
      <c r="D156" s="20" t="s">
        <v>113</v>
      </c>
      <c r="E156" s="22" t="n">
        <v>4</v>
      </c>
      <c r="F156" s="23" t="n">
        <v>143.36</v>
      </c>
      <c r="G156" s="20" t="s">
        <v>77</v>
      </c>
      <c r="H156" s="24" t="n">
        <v>44698</v>
      </c>
      <c r="I156" s="20" t="s">
        <v>115</v>
      </c>
    </row>
    <row r="157" customFormat="false" ht="15" hidden="false" customHeight="true" outlineLevel="0" collapsed="false">
      <c r="A157" s="9" t="s">
        <v>259</v>
      </c>
      <c r="B157" s="10" t="s">
        <v>81</v>
      </c>
      <c r="C157" s="27" t="n">
        <v>54</v>
      </c>
      <c r="D157" s="10" t="s">
        <v>173</v>
      </c>
      <c r="E157" s="28" t="n">
        <v>5</v>
      </c>
      <c r="F157" s="29" t="n">
        <v>58.65</v>
      </c>
      <c r="G157" s="10" t="s">
        <v>77</v>
      </c>
      <c r="H157" s="30" t="n">
        <v>44662</v>
      </c>
      <c r="I157" s="10" t="s">
        <v>78</v>
      </c>
    </row>
    <row r="158" customFormat="false" ht="15" hidden="false" customHeight="true" outlineLevel="0" collapsed="false">
      <c r="A158" s="19" t="s">
        <v>260</v>
      </c>
      <c r="B158" s="20" t="s">
        <v>81</v>
      </c>
      <c r="C158" s="21" t="n">
        <v>41</v>
      </c>
      <c r="D158" s="20" t="s">
        <v>109</v>
      </c>
      <c r="E158" s="22" t="n">
        <v>5</v>
      </c>
      <c r="F158" s="23" t="n">
        <v>26.15</v>
      </c>
      <c r="G158" s="20" t="s">
        <v>77</v>
      </c>
      <c r="H158" s="24" t="n">
        <v>44491</v>
      </c>
      <c r="I158" s="20" t="s">
        <v>78</v>
      </c>
    </row>
    <row r="159" customFormat="false" ht="15" hidden="false" customHeight="true" outlineLevel="0" collapsed="false">
      <c r="A159" s="9" t="s">
        <v>261</v>
      </c>
      <c r="B159" s="10" t="s">
        <v>75</v>
      </c>
      <c r="C159" s="27" t="n">
        <v>59</v>
      </c>
      <c r="D159" s="10" t="s">
        <v>99</v>
      </c>
      <c r="E159" s="28" t="n">
        <v>5</v>
      </c>
      <c r="F159" s="29" t="n">
        <v>203.3</v>
      </c>
      <c r="G159" s="10" t="s">
        <v>87</v>
      </c>
      <c r="H159" s="30" t="n">
        <v>44550</v>
      </c>
      <c r="I159" s="10" t="s">
        <v>100</v>
      </c>
    </row>
    <row r="160" customFormat="false" ht="15" hidden="false" customHeight="true" outlineLevel="0" collapsed="false">
      <c r="A160" s="19" t="s">
        <v>262</v>
      </c>
      <c r="B160" s="20" t="s">
        <v>75</v>
      </c>
      <c r="C160" s="21" t="n">
        <v>32</v>
      </c>
      <c r="D160" s="20" t="s">
        <v>76</v>
      </c>
      <c r="E160" s="22" t="n">
        <v>1</v>
      </c>
      <c r="F160" s="23" t="n">
        <v>300.08</v>
      </c>
      <c r="G160" s="20" t="s">
        <v>77</v>
      </c>
      <c r="H160" s="24" t="n">
        <v>44637</v>
      </c>
      <c r="I160" s="20" t="s">
        <v>91</v>
      </c>
    </row>
    <row r="161" customFormat="false" ht="15" hidden="false" customHeight="true" outlineLevel="0" collapsed="false">
      <c r="A161" s="9" t="s">
        <v>263</v>
      </c>
      <c r="B161" s="10" t="s">
        <v>75</v>
      </c>
      <c r="C161" s="27" t="n">
        <v>41</v>
      </c>
      <c r="D161" s="10" t="s">
        <v>173</v>
      </c>
      <c r="E161" s="28" t="n">
        <v>5</v>
      </c>
      <c r="F161" s="29" t="n">
        <v>58.65</v>
      </c>
      <c r="G161" s="10" t="s">
        <v>77</v>
      </c>
      <c r="H161" s="30" t="n">
        <v>44735</v>
      </c>
      <c r="I161" s="10" t="s">
        <v>91</v>
      </c>
    </row>
    <row r="162" customFormat="false" ht="15" hidden="false" customHeight="true" outlineLevel="0" collapsed="false">
      <c r="A162" s="19" t="s">
        <v>264</v>
      </c>
      <c r="B162" s="20" t="s">
        <v>75</v>
      </c>
      <c r="C162" s="21" t="n">
        <v>30</v>
      </c>
      <c r="D162" s="20" t="s">
        <v>128</v>
      </c>
      <c r="E162" s="22" t="n">
        <v>3</v>
      </c>
      <c r="F162" s="23" t="n">
        <v>3150</v>
      </c>
      <c r="G162" s="20" t="s">
        <v>83</v>
      </c>
      <c r="H162" s="24" t="n">
        <v>44366</v>
      </c>
      <c r="I162" s="20" t="s">
        <v>103</v>
      </c>
    </row>
    <row r="163" customFormat="false" ht="15" hidden="false" customHeight="true" outlineLevel="0" collapsed="false">
      <c r="A163" s="9" t="s">
        <v>265</v>
      </c>
      <c r="B163" s="10" t="s">
        <v>81</v>
      </c>
      <c r="C163" s="27" t="n">
        <v>22</v>
      </c>
      <c r="D163" s="10" t="s">
        <v>76</v>
      </c>
      <c r="E163" s="28" t="n">
        <v>1</v>
      </c>
      <c r="F163" s="29" t="n">
        <v>300.08</v>
      </c>
      <c r="G163" s="10" t="s">
        <v>83</v>
      </c>
      <c r="H163" s="30" t="n">
        <v>44803</v>
      </c>
      <c r="I163" s="10" t="s">
        <v>100</v>
      </c>
    </row>
    <row r="164" customFormat="false" ht="15" hidden="false" customHeight="true" outlineLevel="0" collapsed="false">
      <c r="A164" s="19" t="s">
        <v>266</v>
      </c>
      <c r="B164" s="20" t="s">
        <v>75</v>
      </c>
      <c r="C164" s="21" t="n">
        <v>51</v>
      </c>
      <c r="D164" s="20" t="s">
        <v>76</v>
      </c>
      <c r="E164" s="22" t="n">
        <v>4</v>
      </c>
      <c r="F164" s="23" t="n">
        <v>1200.32</v>
      </c>
      <c r="G164" s="20" t="s">
        <v>87</v>
      </c>
      <c r="H164" s="24" t="n">
        <v>44520</v>
      </c>
      <c r="I164" s="20" t="s">
        <v>115</v>
      </c>
    </row>
    <row r="165" customFormat="false" ht="15" hidden="false" customHeight="true" outlineLevel="0" collapsed="false">
      <c r="A165" s="9" t="s">
        <v>267</v>
      </c>
      <c r="B165" s="10" t="s">
        <v>75</v>
      </c>
      <c r="C165" s="27" t="n">
        <v>23</v>
      </c>
      <c r="D165" s="10" t="s">
        <v>109</v>
      </c>
      <c r="E165" s="28" t="n">
        <v>2</v>
      </c>
      <c r="F165" s="29" t="n">
        <v>10.46</v>
      </c>
      <c r="G165" s="10" t="s">
        <v>77</v>
      </c>
      <c r="H165" s="30" t="n">
        <v>44408</v>
      </c>
      <c r="I165" s="10" t="s">
        <v>118</v>
      </c>
    </row>
    <row r="166" customFormat="false" ht="15" hidden="false" customHeight="true" outlineLevel="0" collapsed="false">
      <c r="A166" s="19" t="s">
        <v>268</v>
      </c>
      <c r="B166" s="20" t="s">
        <v>81</v>
      </c>
      <c r="C166" s="21" t="n">
        <v>40</v>
      </c>
      <c r="D166" s="20" t="s">
        <v>113</v>
      </c>
      <c r="E166" s="22" t="n">
        <v>2</v>
      </c>
      <c r="F166" s="23" t="n">
        <v>71.68</v>
      </c>
      <c r="G166" s="20" t="s">
        <v>87</v>
      </c>
      <c r="H166" s="24" t="n">
        <v>44612</v>
      </c>
      <c r="I166" s="20" t="s">
        <v>78</v>
      </c>
    </row>
    <row r="167" customFormat="false" ht="15" hidden="false" customHeight="true" outlineLevel="0" collapsed="false">
      <c r="A167" s="9" t="s">
        <v>269</v>
      </c>
      <c r="B167" s="10" t="s">
        <v>81</v>
      </c>
      <c r="C167" s="27" t="n">
        <v>37</v>
      </c>
      <c r="D167" s="10" t="s">
        <v>76</v>
      </c>
      <c r="E167" s="28" t="n">
        <v>5</v>
      </c>
      <c r="F167" s="29" t="n">
        <v>1500.4</v>
      </c>
      <c r="G167" s="10" t="s">
        <v>87</v>
      </c>
      <c r="H167" s="30" t="n">
        <v>44966</v>
      </c>
      <c r="I167" s="10" t="s">
        <v>111</v>
      </c>
    </row>
    <row r="168" customFormat="false" ht="15" hidden="false" customHeight="true" outlineLevel="0" collapsed="false">
      <c r="A168" s="19" t="s">
        <v>270</v>
      </c>
      <c r="B168" s="20" t="s">
        <v>75</v>
      </c>
      <c r="C168" s="21" t="n">
        <v>24</v>
      </c>
      <c r="D168" s="20" t="s">
        <v>76</v>
      </c>
      <c r="E168" s="22" t="n">
        <v>1</v>
      </c>
      <c r="F168" s="23" t="n">
        <v>300.08</v>
      </c>
      <c r="G168" s="20" t="s">
        <v>87</v>
      </c>
      <c r="H168" s="24" t="n">
        <v>44279</v>
      </c>
      <c r="I168" s="20" t="s">
        <v>103</v>
      </c>
    </row>
    <row r="169" customFormat="false" ht="15" hidden="false" customHeight="true" outlineLevel="0" collapsed="false">
      <c r="A169" s="9" t="s">
        <v>271</v>
      </c>
      <c r="B169" s="10" t="s">
        <v>81</v>
      </c>
      <c r="C169" s="27" t="n">
        <v>22</v>
      </c>
      <c r="D169" s="10" t="s">
        <v>109</v>
      </c>
      <c r="E169" s="28" t="n">
        <v>1</v>
      </c>
      <c r="F169" s="29" t="n">
        <v>5.23</v>
      </c>
      <c r="G169" s="10" t="s">
        <v>77</v>
      </c>
      <c r="H169" s="30" t="n">
        <v>44798</v>
      </c>
      <c r="I169" s="10" t="s">
        <v>78</v>
      </c>
    </row>
    <row r="170" customFormat="false" ht="15" hidden="false" customHeight="true" outlineLevel="0" collapsed="false">
      <c r="A170" s="19" t="s">
        <v>272</v>
      </c>
      <c r="B170" s="20" t="s">
        <v>75</v>
      </c>
      <c r="C170" s="21" t="n">
        <v>61</v>
      </c>
      <c r="D170" s="20" t="s">
        <v>99</v>
      </c>
      <c r="E170" s="22" t="n">
        <v>4</v>
      </c>
      <c r="F170" s="23" t="n">
        <v>162.64</v>
      </c>
      <c r="G170" s="20" t="s">
        <v>87</v>
      </c>
      <c r="H170" s="24" t="n">
        <v>44490</v>
      </c>
      <c r="I170" s="20" t="s">
        <v>78</v>
      </c>
    </row>
    <row r="171" customFormat="false" ht="15" hidden="false" customHeight="true" outlineLevel="0" collapsed="false">
      <c r="A171" s="9" t="s">
        <v>273</v>
      </c>
      <c r="B171" s="10" t="s">
        <v>75</v>
      </c>
      <c r="C171" s="27" t="n">
        <v>25</v>
      </c>
      <c r="D171" s="10" t="s">
        <v>109</v>
      </c>
      <c r="E171" s="28" t="n">
        <v>2</v>
      </c>
      <c r="F171" s="29" t="n">
        <v>10.46</v>
      </c>
      <c r="G171" s="10" t="s">
        <v>77</v>
      </c>
      <c r="H171" s="30" t="n">
        <v>44709</v>
      </c>
      <c r="I171" s="10" t="s">
        <v>88</v>
      </c>
    </row>
    <row r="172" customFormat="false" ht="15" hidden="false" customHeight="true" outlineLevel="0" collapsed="false">
      <c r="A172" s="19" t="s">
        <v>274</v>
      </c>
      <c r="B172" s="20" t="s">
        <v>75</v>
      </c>
      <c r="C172" s="21" t="n">
        <v>66</v>
      </c>
      <c r="D172" s="20" t="s">
        <v>173</v>
      </c>
      <c r="E172" s="22" t="n">
        <v>5</v>
      </c>
      <c r="F172" s="23" t="n">
        <v>58.65</v>
      </c>
      <c r="G172" s="20" t="s">
        <v>77</v>
      </c>
      <c r="H172" s="24" t="n">
        <v>44625</v>
      </c>
      <c r="I172" s="20" t="s">
        <v>121</v>
      </c>
    </row>
    <row r="173" customFormat="false" ht="15" hidden="false" customHeight="true" outlineLevel="0" collapsed="false">
      <c r="A173" s="9" t="s">
        <v>275</v>
      </c>
      <c r="B173" s="10" t="s">
        <v>75</v>
      </c>
      <c r="C173" s="27" t="n">
        <v>59</v>
      </c>
      <c r="D173" s="10" t="s">
        <v>82</v>
      </c>
      <c r="E173" s="28" t="n">
        <v>1</v>
      </c>
      <c r="F173" s="29" t="n">
        <v>600.17</v>
      </c>
      <c r="G173" s="10" t="s">
        <v>87</v>
      </c>
      <c r="H173" s="30" t="n">
        <v>44474</v>
      </c>
      <c r="I173" s="10" t="s">
        <v>78</v>
      </c>
    </row>
    <row r="174" customFormat="false" ht="15" hidden="false" customHeight="true" outlineLevel="0" collapsed="false">
      <c r="A174" s="19" t="s">
        <v>276</v>
      </c>
      <c r="B174" s="20" t="s">
        <v>81</v>
      </c>
      <c r="C174" s="21" t="n">
        <v>38</v>
      </c>
      <c r="D174" s="20" t="s">
        <v>76</v>
      </c>
      <c r="E174" s="22" t="n">
        <v>4</v>
      </c>
      <c r="F174" s="23" t="n">
        <v>1200.32</v>
      </c>
      <c r="G174" s="20" t="s">
        <v>87</v>
      </c>
      <c r="H174" s="24" t="n">
        <v>44302</v>
      </c>
      <c r="I174" s="20" t="s">
        <v>91</v>
      </c>
    </row>
    <row r="175" customFormat="false" ht="15" hidden="false" customHeight="true" outlineLevel="0" collapsed="false">
      <c r="A175" s="9" t="s">
        <v>277</v>
      </c>
      <c r="B175" s="10" t="s">
        <v>81</v>
      </c>
      <c r="C175" s="27" t="n">
        <v>34</v>
      </c>
      <c r="D175" s="10" t="s">
        <v>113</v>
      </c>
      <c r="E175" s="28" t="n">
        <v>2</v>
      </c>
      <c r="F175" s="29" t="n">
        <v>71.68</v>
      </c>
      <c r="G175" s="10" t="s">
        <v>83</v>
      </c>
      <c r="H175" s="30" t="n">
        <v>44983</v>
      </c>
      <c r="I175" s="10" t="s">
        <v>88</v>
      </c>
    </row>
    <row r="176" customFormat="false" ht="15" hidden="false" customHeight="true" outlineLevel="0" collapsed="false">
      <c r="A176" s="19" t="s">
        <v>278</v>
      </c>
      <c r="B176" s="20" t="s">
        <v>75</v>
      </c>
      <c r="C176" s="21" t="n">
        <v>26</v>
      </c>
      <c r="D176" s="20" t="s">
        <v>76</v>
      </c>
      <c r="E176" s="22" t="n">
        <v>1</v>
      </c>
      <c r="F176" s="23" t="n">
        <v>300.08</v>
      </c>
      <c r="G176" s="20" t="s">
        <v>87</v>
      </c>
      <c r="H176" s="24" t="n">
        <v>44275</v>
      </c>
      <c r="I176" s="20" t="s">
        <v>78</v>
      </c>
    </row>
    <row r="177" customFormat="false" ht="15" hidden="false" customHeight="true" outlineLevel="0" collapsed="false">
      <c r="A177" s="9" t="s">
        <v>279</v>
      </c>
      <c r="B177" s="10" t="s">
        <v>75</v>
      </c>
      <c r="C177" s="27" t="n">
        <v>59</v>
      </c>
      <c r="D177" s="10" t="s">
        <v>173</v>
      </c>
      <c r="E177" s="28" t="n">
        <v>5</v>
      </c>
      <c r="F177" s="29" t="n">
        <v>58.65</v>
      </c>
      <c r="G177" s="10" t="s">
        <v>87</v>
      </c>
      <c r="H177" s="30" t="n">
        <v>44696</v>
      </c>
      <c r="I177" s="10" t="s">
        <v>88</v>
      </c>
    </row>
    <row r="178" customFormat="false" ht="15" hidden="false" customHeight="true" outlineLevel="0" collapsed="false">
      <c r="A178" s="19" t="s">
        <v>280</v>
      </c>
      <c r="B178" s="20" t="s">
        <v>75</v>
      </c>
      <c r="C178" s="21" t="n">
        <v>53</v>
      </c>
      <c r="D178" s="20" t="s">
        <v>113</v>
      </c>
      <c r="E178" s="22" t="n">
        <v>1</v>
      </c>
      <c r="F178" s="23" t="n">
        <v>35.84</v>
      </c>
      <c r="G178" s="20" t="s">
        <v>83</v>
      </c>
      <c r="H178" s="24" t="n">
        <v>44957</v>
      </c>
      <c r="I178" s="20" t="s">
        <v>103</v>
      </c>
    </row>
    <row r="179" customFormat="false" ht="15" hidden="false" customHeight="true" outlineLevel="0" collapsed="false">
      <c r="A179" s="9" t="s">
        <v>281</v>
      </c>
      <c r="B179" s="10" t="s">
        <v>81</v>
      </c>
      <c r="C179" s="27" t="n">
        <v>23</v>
      </c>
      <c r="D179" s="10" t="s">
        <v>99</v>
      </c>
      <c r="E179" s="28" t="n">
        <v>4</v>
      </c>
      <c r="F179" s="29" t="n">
        <v>162.64</v>
      </c>
      <c r="G179" s="10" t="s">
        <v>83</v>
      </c>
      <c r="H179" s="30" t="n">
        <v>44471</v>
      </c>
      <c r="I179" s="10" t="s">
        <v>118</v>
      </c>
    </row>
    <row r="180" customFormat="false" ht="15" hidden="false" customHeight="true" outlineLevel="0" collapsed="false">
      <c r="A180" s="19" t="s">
        <v>282</v>
      </c>
      <c r="B180" s="20" t="s">
        <v>75</v>
      </c>
      <c r="C180" s="21" t="n">
        <v>23</v>
      </c>
      <c r="D180" s="20" t="s">
        <v>76</v>
      </c>
      <c r="E180" s="22" t="n">
        <v>5</v>
      </c>
      <c r="F180" s="23" t="n">
        <v>1500.4</v>
      </c>
      <c r="G180" s="20" t="s">
        <v>77</v>
      </c>
      <c r="H180" s="24" t="n">
        <v>44776</v>
      </c>
      <c r="I180" s="20" t="s">
        <v>118</v>
      </c>
    </row>
    <row r="181" customFormat="false" ht="15" hidden="false" customHeight="true" outlineLevel="0" collapsed="false">
      <c r="A181" s="9" t="s">
        <v>283</v>
      </c>
      <c r="B181" s="10" t="s">
        <v>75</v>
      </c>
      <c r="C181" s="27" t="n">
        <v>66</v>
      </c>
      <c r="D181" s="10" t="s">
        <v>128</v>
      </c>
      <c r="E181" s="28" t="n">
        <v>3</v>
      </c>
      <c r="F181" s="29" t="n">
        <v>3150</v>
      </c>
      <c r="G181" s="10" t="s">
        <v>83</v>
      </c>
      <c r="H181" s="30" t="n">
        <v>44283</v>
      </c>
      <c r="I181" s="10" t="s">
        <v>115</v>
      </c>
    </row>
    <row r="182" customFormat="false" ht="15" hidden="false" customHeight="true" outlineLevel="0" collapsed="false">
      <c r="A182" s="19" t="s">
        <v>284</v>
      </c>
      <c r="B182" s="20" t="s">
        <v>75</v>
      </c>
      <c r="C182" s="21" t="n">
        <v>56</v>
      </c>
      <c r="D182" s="20" t="s">
        <v>99</v>
      </c>
      <c r="E182" s="22" t="n">
        <v>4</v>
      </c>
      <c r="F182" s="23" t="n">
        <v>162.64</v>
      </c>
      <c r="G182" s="20" t="s">
        <v>87</v>
      </c>
      <c r="H182" s="24" t="n">
        <v>44886</v>
      </c>
      <c r="I182" s="20" t="s">
        <v>103</v>
      </c>
    </row>
    <row r="183" customFormat="false" ht="15" hidden="false" customHeight="true" outlineLevel="0" collapsed="false">
      <c r="A183" s="9" t="s">
        <v>285</v>
      </c>
      <c r="B183" s="10" t="s">
        <v>75</v>
      </c>
      <c r="C183" s="27" t="n">
        <v>38</v>
      </c>
      <c r="D183" s="10" t="s">
        <v>173</v>
      </c>
      <c r="E183" s="28" t="n">
        <v>2</v>
      </c>
      <c r="F183" s="29" t="n">
        <v>23.46</v>
      </c>
      <c r="G183" s="10" t="s">
        <v>77</v>
      </c>
      <c r="H183" s="30" t="n">
        <v>44239</v>
      </c>
      <c r="I183" s="10" t="s">
        <v>91</v>
      </c>
    </row>
    <row r="184" customFormat="false" ht="15" hidden="false" customHeight="true" outlineLevel="0" collapsed="false">
      <c r="A184" s="19" t="s">
        <v>286</v>
      </c>
      <c r="B184" s="20" t="s">
        <v>81</v>
      </c>
      <c r="C184" s="21" t="n">
        <v>28</v>
      </c>
      <c r="D184" s="20" t="s">
        <v>76</v>
      </c>
      <c r="E184" s="22" t="n">
        <v>3</v>
      </c>
      <c r="F184" s="23" t="n">
        <v>900.24</v>
      </c>
      <c r="G184" s="20" t="s">
        <v>87</v>
      </c>
      <c r="H184" s="24" t="n">
        <v>44289</v>
      </c>
      <c r="I184" s="20" t="s">
        <v>115</v>
      </c>
    </row>
    <row r="185" customFormat="false" ht="15" hidden="false" customHeight="true" outlineLevel="0" collapsed="false">
      <c r="A185" s="9" t="s">
        <v>287</v>
      </c>
      <c r="B185" s="10" t="s">
        <v>75</v>
      </c>
      <c r="C185" s="27" t="n">
        <v>44</v>
      </c>
      <c r="D185" s="10" t="s">
        <v>109</v>
      </c>
      <c r="E185" s="28" t="n">
        <v>1</v>
      </c>
      <c r="F185" s="29" t="n">
        <v>5.23</v>
      </c>
      <c r="G185" s="10" t="s">
        <v>87</v>
      </c>
      <c r="H185" s="30" t="n">
        <v>44745</v>
      </c>
      <c r="I185" s="10" t="s">
        <v>91</v>
      </c>
    </row>
    <row r="186" customFormat="false" ht="15" hidden="false" customHeight="true" outlineLevel="0" collapsed="false">
      <c r="A186" s="19" t="s">
        <v>288</v>
      </c>
      <c r="B186" s="20" t="s">
        <v>75</v>
      </c>
      <c r="C186" s="21" t="n">
        <v>26</v>
      </c>
      <c r="D186" s="20" t="s">
        <v>109</v>
      </c>
      <c r="E186" s="22" t="n">
        <v>4</v>
      </c>
      <c r="F186" s="23" t="n">
        <v>20.92</v>
      </c>
      <c r="G186" s="20" t="s">
        <v>87</v>
      </c>
      <c r="H186" s="24" t="n">
        <v>44241</v>
      </c>
      <c r="I186" s="20" t="s">
        <v>103</v>
      </c>
    </row>
    <row r="187" customFormat="false" ht="15" hidden="false" customHeight="true" outlineLevel="0" collapsed="false">
      <c r="A187" s="9" t="s">
        <v>289</v>
      </c>
      <c r="B187" s="10" t="s">
        <v>75</v>
      </c>
      <c r="C187" s="27" t="n">
        <v>41</v>
      </c>
      <c r="D187" s="10" t="s">
        <v>99</v>
      </c>
      <c r="E187" s="28" t="n">
        <v>4</v>
      </c>
      <c r="F187" s="29" t="n">
        <v>162.64</v>
      </c>
      <c r="G187" s="10" t="s">
        <v>77</v>
      </c>
      <c r="H187" s="30" t="n">
        <v>44757</v>
      </c>
      <c r="I187" s="10" t="s">
        <v>118</v>
      </c>
    </row>
    <row r="188" customFormat="false" ht="15" hidden="false" customHeight="true" outlineLevel="0" collapsed="false">
      <c r="A188" s="19" t="s">
        <v>290</v>
      </c>
      <c r="B188" s="20" t="s">
        <v>81</v>
      </c>
      <c r="C188" s="21" t="n">
        <v>50</v>
      </c>
      <c r="D188" s="20" t="s">
        <v>76</v>
      </c>
      <c r="E188" s="22" t="n">
        <v>4</v>
      </c>
      <c r="F188" s="23" t="n">
        <v>1200.32</v>
      </c>
      <c r="G188" s="20" t="s">
        <v>87</v>
      </c>
      <c r="H188" s="24" t="n">
        <v>44389</v>
      </c>
      <c r="I188" s="20" t="s">
        <v>118</v>
      </c>
    </row>
    <row r="189" customFormat="false" ht="15" hidden="false" customHeight="true" outlineLevel="0" collapsed="false">
      <c r="A189" s="9" t="s">
        <v>291</v>
      </c>
      <c r="B189" s="10" t="s">
        <v>75</v>
      </c>
      <c r="C189" s="27" t="n">
        <v>23</v>
      </c>
      <c r="D189" s="10" t="s">
        <v>99</v>
      </c>
      <c r="E189" s="28" t="n">
        <v>3</v>
      </c>
      <c r="F189" s="29" t="n">
        <v>121.98</v>
      </c>
      <c r="G189" s="10" t="s">
        <v>87</v>
      </c>
      <c r="H189" s="30" t="n">
        <v>44700</v>
      </c>
      <c r="I189" s="10" t="s">
        <v>103</v>
      </c>
    </row>
    <row r="190" customFormat="false" ht="15" hidden="false" customHeight="true" outlineLevel="0" collapsed="false">
      <c r="A190" s="19" t="s">
        <v>292</v>
      </c>
      <c r="B190" s="20" t="s">
        <v>75</v>
      </c>
      <c r="C190" s="21" t="n">
        <v>31</v>
      </c>
      <c r="D190" s="20" t="s">
        <v>99</v>
      </c>
      <c r="E190" s="22" t="n">
        <v>4</v>
      </c>
      <c r="F190" s="23" t="n">
        <v>162.64</v>
      </c>
      <c r="G190" s="20" t="s">
        <v>87</v>
      </c>
      <c r="H190" s="24" t="n">
        <v>44970</v>
      </c>
      <c r="I190" s="20" t="s">
        <v>91</v>
      </c>
    </row>
    <row r="191" customFormat="false" ht="15" hidden="false" customHeight="true" outlineLevel="0" collapsed="false">
      <c r="A191" s="9" t="s">
        <v>293</v>
      </c>
      <c r="B191" s="10" t="s">
        <v>81</v>
      </c>
      <c r="C191" s="27" t="n">
        <v>26</v>
      </c>
      <c r="D191" s="10" t="s">
        <v>99</v>
      </c>
      <c r="E191" s="28" t="n">
        <v>5</v>
      </c>
      <c r="F191" s="29" t="n">
        <v>203.3</v>
      </c>
      <c r="G191" s="10" t="s">
        <v>77</v>
      </c>
      <c r="H191" s="30" t="n">
        <v>44892</v>
      </c>
      <c r="I191" s="10" t="s">
        <v>84</v>
      </c>
    </row>
    <row r="192" customFormat="false" ht="15" hidden="false" customHeight="true" outlineLevel="0" collapsed="false">
      <c r="A192" s="19" t="s">
        <v>294</v>
      </c>
      <c r="B192" s="20" t="s">
        <v>75</v>
      </c>
      <c r="C192" s="21" t="n">
        <v>56</v>
      </c>
      <c r="D192" s="20" t="s">
        <v>109</v>
      </c>
      <c r="E192" s="22" t="n">
        <v>3</v>
      </c>
      <c r="F192" s="23" t="n">
        <v>15.69</v>
      </c>
      <c r="G192" s="20" t="s">
        <v>87</v>
      </c>
      <c r="H192" s="24" t="n">
        <v>44257</v>
      </c>
      <c r="I192" s="20" t="s">
        <v>118</v>
      </c>
    </row>
    <row r="193" customFormat="false" ht="15" hidden="false" customHeight="true" outlineLevel="0" collapsed="false">
      <c r="A193" s="9" t="s">
        <v>295</v>
      </c>
      <c r="B193" s="10" t="s">
        <v>75</v>
      </c>
      <c r="C193" s="27" t="n">
        <v>34</v>
      </c>
      <c r="D193" s="10" t="s">
        <v>113</v>
      </c>
      <c r="E193" s="28" t="n">
        <v>4</v>
      </c>
      <c r="F193" s="29" t="n">
        <v>143.36</v>
      </c>
      <c r="G193" s="10" t="s">
        <v>87</v>
      </c>
      <c r="H193" s="30" t="n">
        <v>44485</v>
      </c>
      <c r="I193" s="10" t="s">
        <v>78</v>
      </c>
    </row>
    <row r="194" customFormat="false" ht="15" hidden="false" customHeight="true" outlineLevel="0" collapsed="false">
      <c r="A194" s="19" t="s">
        <v>296</v>
      </c>
      <c r="B194" s="20" t="s">
        <v>75</v>
      </c>
      <c r="C194" s="21" t="n">
        <v>29</v>
      </c>
      <c r="D194" s="20" t="s">
        <v>76</v>
      </c>
      <c r="E194" s="22" t="n">
        <v>2</v>
      </c>
      <c r="F194" s="23" t="n">
        <v>600.16</v>
      </c>
      <c r="G194" s="20" t="s">
        <v>87</v>
      </c>
      <c r="H194" s="24" t="n">
        <v>44504</v>
      </c>
      <c r="I194" s="20" t="s">
        <v>78</v>
      </c>
    </row>
    <row r="195" customFormat="false" ht="15" hidden="false" customHeight="true" outlineLevel="0" collapsed="false">
      <c r="A195" s="9" t="s">
        <v>297</v>
      </c>
      <c r="B195" s="10" t="s">
        <v>75</v>
      </c>
      <c r="C195" s="27" t="n">
        <v>20</v>
      </c>
      <c r="D195" s="10" t="s">
        <v>76</v>
      </c>
      <c r="E195" s="28" t="n">
        <v>1</v>
      </c>
      <c r="F195" s="29" t="n">
        <v>300.08</v>
      </c>
      <c r="G195" s="10" t="s">
        <v>77</v>
      </c>
      <c r="H195" s="30" t="n">
        <v>44937</v>
      </c>
      <c r="I195" s="10" t="s">
        <v>103</v>
      </c>
    </row>
    <row r="196" customFormat="false" ht="15" hidden="false" customHeight="true" outlineLevel="0" collapsed="false">
      <c r="A196" s="19" t="s">
        <v>298</v>
      </c>
      <c r="B196" s="20" t="s">
        <v>75</v>
      </c>
      <c r="C196" s="21" t="n">
        <v>54</v>
      </c>
      <c r="D196" s="20" t="s">
        <v>99</v>
      </c>
      <c r="E196" s="22" t="n">
        <v>3</v>
      </c>
      <c r="F196" s="23" t="n">
        <v>121.98</v>
      </c>
      <c r="G196" s="20" t="s">
        <v>77</v>
      </c>
      <c r="H196" s="24" t="n">
        <v>44720</v>
      </c>
      <c r="I196" s="20" t="s">
        <v>84</v>
      </c>
    </row>
    <row r="197" customFormat="false" ht="15" hidden="false" customHeight="true" outlineLevel="0" collapsed="false">
      <c r="A197" s="9" t="s">
        <v>299</v>
      </c>
      <c r="B197" s="10" t="s">
        <v>81</v>
      </c>
      <c r="C197" s="27" t="n">
        <v>40</v>
      </c>
      <c r="D197" s="10" t="s">
        <v>76</v>
      </c>
      <c r="E197" s="28" t="n">
        <v>4</v>
      </c>
      <c r="F197" s="29" t="n">
        <v>1200.32</v>
      </c>
      <c r="G197" s="10" t="s">
        <v>83</v>
      </c>
      <c r="H197" s="30" t="n">
        <v>44340</v>
      </c>
      <c r="I197" s="10" t="s">
        <v>88</v>
      </c>
    </row>
    <row r="198" customFormat="false" ht="15" hidden="false" customHeight="true" outlineLevel="0" collapsed="false">
      <c r="A198" s="19" t="s">
        <v>300</v>
      </c>
      <c r="B198" s="20" t="s">
        <v>81</v>
      </c>
      <c r="C198" s="21" t="n">
        <v>40</v>
      </c>
      <c r="D198" s="20" t="s">
        <v>99</v>
      </c>
      <c r="E198" s="22" t="n">
        <v>5</v>
      </c>
      <c r="F198" s="23" t="n">
        <v>203.3</v>
      </c>
      <c r="G198" s="20" t="s">
        <v>87</v>
      </c>
      <c r="H198" s="24" t="n">
        <v>44214</v>
      </c>
      <c r="I198" s="20" t="s">
        <v>100</v>
      </c>
    </row>
    <row r="199" customFormat="false" ht="15" hidden="false" customHeight="true" outlineLevel="0" collapsed="false">
      <c r="A199" s="9" t="s">
        <v>301</v>
      </c>
      <c r="B199" s="10" t="s">
        <v>81</v>
      </c>
      <c r="C199" s="27" t="n">
        <v>21</v>
      </c>
      <c r="D199" s="10" t="s">
        <v>94</v>
      </c>
      <c r="E199" s="28" t="n">
        <v>4</v>
      </c>
      <c r="F199" s="29" t="n">
        <v>60.6</v>
      </c>
      <c r="G199" s="10" t="s">
        <v>87</v>
      </c>
      <c r="H199" s="30" t="n">
        <v>44399</v>
      </c>
      <c r="I199" s="10" t="s">
        <v>103</v>
      </c>
    </row>
    <row r="200" customFormat="false" ht="15" hidden="false" customHeight="true" outlineLevel="0" collapsed="false">
      <c r="A200" s="19" t="s">
        <v>302</v>
      </c>
      <c r="B200" s="20" t="s">
        <v>75</v>
      </c>
      <c r="C200" s="21" t="n">
        <v>32</v>
      </c>
      <c r="D200" s="20" t="s">
        <v>128</v>
      </c>
      <c r="E200" s="22" t="n">
        <v>2</v>
      </c>
      <c r="F200" s="23" t="n">
        <v>2100</v>
      </c>
      <c r="G200" s="20" t="s">
        <v>87</v>
      </c>
      <c r="H200" s="24" t="n">
        <v>44829</v>
      </c>
      <c r="I200" s="20" t="s">
        <v>121</v>
      </c>
    </row>
    <row r="201" customFormat="false" ht="15" hidden="false" customHeight="true" outlineLevel="0" collapsed="false">
      <c r="A201" s="9" t="s">
        <v>303</v>
      </c>
      <c r="B201" s="10" t="s">
        <v>81</v>
      </c>
      <c r="C201" s="27" t="n">
        <v>47</v>
      </c>
      <c r="D201" s="10" t="s">
        <v>76</v>
      </c>
      <c r="E201" s="28" t="n">
        <v>3</v>
      </c>
      <c r="F201" s="29" t="n">
        <v>900.24</v>
      </c>
      <c r="G201" s="10" t="s">
        <v>77</v>
      </c>
      <c r="H201" s="30" t="n">
        <v>44449</v>
      </c>
      <c r="I201" s="10" t="s">
        <v>88</v>
      </c>
    </row>
    <row r="202" customFormat="false" ht="15" hidden="false" customHeight="true" outlineLevel="0" collapsed="false">
      <c r="A202" s="19" t="s">
        <v>304</v>
      </c>
      <c r="B202" s="20" t="s">
        <v>75</v>
      </c>
      <c r="C202" s="21" t="n">
        <v>41</v>
      </c>
      <c r="D202" s="20" t="s">
        <v>173</v>
      </c>
      <c r="E202" s="22" t="n">
        <v>3</v>
      </c>
      <c r="F202" s="23" t="n">
        <v>35.19</v>
      </c>
      <c r="G202" s="20" t="s">
        <v>87</v>
      </c>
      <c r="H202" s="24" t="n">
        <v>44577</v>
      </c>
      <c r="I202" s="20" t="s">
        <v>115</v>
      </c>
    </row>
    <row r="203" customFormat="false" ht="15" hidden="false" customHeight="true" outlineLevel="0" collapsed="false">
      <c r="A203" s="9" t="s">
        <v>305</v>
      </c>
      <c r="B203" s="10" t="s">
        <v>81</v>
      </c>
      <c r="C203" s="27" t="n">
        <v>33</v>
      </c>
      <c r="D203" s="10" t="s">
        <v>99</v>
      </c>
      <c r="E203" s="28" t="n">
        <v>5</v>
      </c>
      <c r="F203" s="29" t="n">
        <v>203.3</v>
      </c>
      <c r="G203" s="10" t="s">
        <v>87</v>
      </c>
      <c r="H203" s="30" t="n">
        <v>44878</v>
      </c>
      <c r="I203" s="10" t="s">
        <v>78</v>
      </c>
    </row>
  </sheetData>
  <mergeCells count="3">
    <mergeCell ref="A1:I1"/>
    <mergeCell ref="A2:I2"/>
    <mergeCell ref="K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1" min="10" style="1" width="10"/>
  </cols>
  <sheetData>
    <row r="1" customFormat="false" ht="31.5" hidden="false" customHeight="true" outlineLevel="0" collapsed="false">
      <c r="A1" s="39" t="s">
        <v>306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customFormat="false" ht="15.75" hidden="false" customHeight="true" outlineLevel="0" collapsed="false">
      <c r="A2" s="40" t="s">
        <v>307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customFormat="false" ht="19.5" hidden="false" customHeight="true" outlineLevel="0" collapsed="false">
      <c r="A3" s="18" t="s">
        <v>308</v>
      </c>
      <c r="B3" s="18" t="s">
        <v>309</v>
      </c>
      <c r="C3" s="14" t="s">
        <v>310</v>
      </c>
      <c r="D3" s="14" t="s">
        <v>311</v>
      </c>
      <c r="E3" s="14" t="s">
        <v>312</v>
      </c>
      <c r="F3" s="14" t="s">
        <v>313</v>
      </c>
      <c r="G3" s="14" t="s">
        <v>314</v>
      </c>
      <c r="H3" s="15" t="s">
        <v>315</v>
      </c>
      <c r="I3" s="15" t="s">
        <v>316</v>
      </c>
      <c r="J3" s="16" t="s">
        <v>317</v>
      </c>
      <c r="K3" s="41" t="s">
        <v>318</v>
      </c>
    </row>
    <row r="4" customFormat="false" ht="15" hidden="false" customHeight="true" outlineLevel="0" collapsed="false">
      <c r="A4" s="42" t="n">
        <v>77</v>
      </c>
      <c r="B4" s="43" t="s">
        <v>319</v>
      </c>
      <c r="C4" s="44" t="n">
        <v>48</v>
      </c>
      <c r="D4" s="44" t="n">
        <v>21</v>
      </c>
      <c r="E4" s="44" t="n">
        <v>10</v>
      </c>
      <c r="F4" s="44" t="n">
        <v>18</v>
      </c>
      <c r="G4" s="44" t="n">
        <v>32</v>
      </c>
      <c r="H4" s="45" t="n">
        <f aca="false">SUM(C4:G4)</f>
        <v>129</v>
      </c>
      <c r="I4" s="46" t="n">
        <f aca="false">ROUNDUP(AVERAGE(C4:G4),0)</f>
        <v>26</v>
      </c>
      <c r="J4" s="47" t="str">
        <f aca="false">IF(I4&gt;=90,"A++",IF(I4&gt;=80,"A+",IF(I4&gt;=70,"A",IF(I4&gt;=60,"B+",IF(I4&gt;=35,"B","F")))))</f>
        <v>F</v>
      </c>
      <c r="K4" s="48" t="str">
        <f aca="false">IF(J4="F","Fail","Pass")</f>
        <v>Fail</v>
      </c>
    </row>
    <row r="5" customFormat="false" ht="15" hidden="false" customHeight="true" outlineLevel="0" collapsed="false">
      <c r="A5" s="49" t="n">
        <v>52</v>
      </c>
      <c r="B5" s="50" t="s">
        <v>320</v>
      </c>
      <c r="C5" s="27" t="n">
        <v>50</v>
      </c>
      <c r="D5" s="27" t="n">
        <v>25</v>
      </c>
      <c r="E5" s="27" t="n">
        <v>12</v>
      </c>
      <c r="F5" s="27" t="n">
        <v>16</v>
      </c>
      <c r="G5" s="27" t="n">
        <v>29</v>
      </c>
      <c r="H5" s="51" t="n">
        <f aca="false">SUM(C5:G5)</f>
        <v>132</v>
      </c>
      <c r="I5" s="52" t="n">
        <f aca="false">ROUNDUP(AVERAGE(C5:G5),0)</f>
        <v>27</v>
      </c>
      <c r="J5" s="53" t="str">
        <f aca="false">IF(I5&gt;=90,"A++",IF(I5&gt;=80,"A+",IF(I5&gt;=70,"A",IF(I5&gt;=60,"B+",IF(I5&gt;=35,"B","F")))))</f>
        <v>F</v>
      </c>
      <c r="K5" s="54" t="str">
        <f aca="false">IF(J5="F","Fail","Pass")</f>
        <v>Fail</v>
      </c>
    </row>
    <row r="6" customFormat="false" ht="15" hidden="false" customHeight="true" outlineLevel="0" collapsed="false">
      <c r="A6" s="42" t="n">
        <v>11</v>
      </c>
      <c r="B6" s="43" t="s">
        <v>321</v>
      </c>
      <c r="C6" s="44" t="n">
        <v>13</v>
      </c>
      <c r="D6" s="44" t="n">
        <v>48</v>
      </c>
      <c r="E6" s="44" t="n">
        <v>27</v>
      </c>
      <c r="F6" s="44" t="n">
        <v>26</v>
      </c>
      <c r="G6" s="44" t="n">
        <v>38</v>
      </c>
      <c r="H6" s="45" t="n">
        <f aca="false">SUM(C6:G6)</f>
        <v>152</v>
      </c>
      <c r="I6" s="46" t="n">
        <f aca="false">ROUNDUP(AVERAGE(C6:G6),0)</f>
        <v>31</v>
      </c>
      <c r="J6" s="47" t="str">
        <f aca="false">IF(I6&gt;=90,"A++",IF(I6&gt;=80,"A+",IF(I6&gt;=70,"A",IF(I6&gt;=60,"B+",IF(I6&gt;=35,"B","F")))))</f>
        <v>F</v>
      </c>
      <c r="K6" s="48" t="str">
        <f aca="false">IF(J6="F","Fail","Pass")</f>
        <v>Fail</v>
      </c>
    </row>
    <row r="7" customFormat="false" ht="15" hidden="false" customHeight="true" outlineLevel="0" collapsed="false">
      <c r="A7" s="49" t="n">
        <v>19</v>
      </c>
      <c r="B7" s="50" t="s">
        <v>322</v>
      </c>
      <c r="C7" s="27" t="n">
        <v>33</v>
      </c>
      <c r="D7" s="27" t="n">
        <v>33</v>
      </c>
      <c r="E7" s="27" t="n">
        <v>33</v>
      </c>
      <c r="F7" s="27" t="n">
        <v>33</v>
      </c>
      <c r="G7" s="27" t="n">
        <v>33</v>
      </c>
      <c r="H7" s="51" t="n">
        <f aca="false">SUM(C7:G7)</f>
        <v>165</v>
      </c>
      <c r="I7" s="52" t="n">
        <f aca="false">ROUNDUP(AVERAGE(C7:G7),0)</f>
        <v>33</v>
      </c>
      <c r="J7" s="53" t="str">
        <f aca="false">IF(I7&gt;=90,"A++",IF(I7&gt;=80,"A+",IF(I7&gt;=70,"A",IF(I7&gt;=60,"B+",IF(I7&gt;=35,"B","F")))))</f>
        <v>F</v>
      </c>
      <c r="K7" s="54" t="str">
        <f aca="false">IF(J7="F","Fail","Pass")</f>
        <v>Fail</v>
      </c>
    </row>
    <row r="8" customFormat="false" ht="15" hidden="false" customHeight="true" outlineLevel="0" collapsed="false">
      <c r="A8" s="42" t="n">
        <v>120</v>
      </c>
      <c r="B8" s="43" t="s">
        <v>323</v>
      </c>
      <c r="C8" s="44" t="n">
        <v>33</v>
      </c>
      <c r="D8" s="44" t="n">
        <v>56</v>
      </c>
      <c r="E8" s="44" t="n">
        <v>34</v>
      </c>
      <c r="F8" s="44" t="n">
        <v>28</v>
      </c>
      <c r="G8" s="44" t="n">
        <v>25</v>
      </c>
      <c r="H8" s="45" t="n">
        <f aca="false">SUM(C8:G8)</f>
        <v>176</v>
      </c>
      <c r="I8" s="46" t="n">
        <f aca="false">ROUNDUP(AVERAGE(C8:G8),0)</f>
        <v>36</v>
      </c>
      <c r="J8" s="47" t="str">
        <f aca="false">IF(I8&gt;=90,"A++",IF(I8&gt;=80,"A+",IF(I8&gt;=70,"A",IF(I8&gt;=60,"B+",IF(I8&gt;=35,"B","F")))))</f>
        <v>B</v>
      </c>
      <c r="K8" s="48" t="str">
        <f aca="false">IF(J8="F","Fail","Pass")</f>
        <v>Pass</v>
      </c>
    </row>
    <row r="9" customFormat="false" ht="15" hidden="false" customHeight="true" outlineLevel="0" collapsed="false">
      <c r="A9" s="49" t="n">
        <v>55</v>
      </c>
      <c r="B9" s="50" t="s">
        <v>324</v>
      </c>
      <c r="C9" s="27" t="n">
        <v>42</v>
      </c>
      <c r="D9" s="27" t="n">
        <v>51</v>
      </c>
      <c r="E9" s="27" t="n">
        <v>39</v>
      </c>
      <c r="F9" s="27" t="n">
        <v>28</v>
      </c>
      <c r="G9" s="27" t="n">
        <v>18</v>
      </c>
      <c r="H9" s="51" t="n">
        <f aca="false">SUM(C9:G9)</f>
        <v>178</v>
      </c>
      <c r="I9" s="52" t="n">
        <f aca="false">ROUNDUP(AVERAGE(C9:G9),0)</f>
        <v>36</v>
      </c>
      <c r="J9" s="53" t="str">
        <f aca="false">IF(I9&gt;=90,"A++",IF(I9&gt;=80,"A+",IF(I9&gt;=70,"A",IF(I9&gt;=60,"B+",IF(I9&gt;=35,"B","F")))))</f>
        <v>B</v>
      </c>
      <c r="K9" s="54" t="str">
        <f aca="false">IF(J9="F","Fail","Pass")</f>
        <v>Pass</v>
      </c>
    </row>
    <row r="10" customFormat="false" ht="15" hidden="false" customHeight="true" outlineLevel="0" collapsed="false">
      <c r="A10" s="42" t="n">
        <v>13</v>
      </c>
      <c r="B10" s="43" t="s">
        <v>325</v>
      </c>
      <c r="C10" s="44" t="n">
        <v>28</v>
      </c>
      <c r="D10" s="44" t="n">
        <v>31</v>
      </c>
      <c r="E10" s="44" t="n">
        <v>27</v>
      </c>
      <c r="F10" s="44" t="n">
        <v>77</v>
      </c>
      <c r="G10" s="44" t="n">
        <v>17</v>
      </c>
      <c r="H10" s="45" t="n">
        <f aca="false">SUM(C10:G10)</f>
        <v>180</v>
      </c>
      <c r="I10" s="46" t="n">
        <f aca="false">ROUNDUP(AVERAGE(C10:G10),0)</f>
        <v>36</v>
      </c>
      <c r="J10" s="47" t="str">
        <f aca="false">IF(I10&gt;=90,"A++",IF(I10&gt;=80,"A+",IF(I10&gt;=70,"A",IF(I10&gt;=60,"B+",IF(I10&gt;=35,"B","F")))))</f>
        <v>B</v>
      </c>
      <c r="K10" s="48" t="str">
        <f aca="false">IF(J10="F","Fail","Pass")</f>
        <v>Pass</v>
      </c>
    </row>
    <row r="11" customFormat="false" ht="15" hidden="false" customHeight="true" outlineLevel="0" collapsed="false">
      <c r="A11" s="49" t="n">
        <v>32</v>
      </c>
      <c r="B11" s="50" t="s">
        <v>326</v>
      </c>
      <c r="C11" s="27" t="n">
        <v>68</v>
      </c>
      <c r="D11" s="27" t="n">
        <v>42</v>
      </c>
      <c r="E11" s="27" t="n">
        <v>35</v>
      </c>
      <c r="F11" s="27" t="n">
        <v>23</v>
      </c>
      <c r="G11" s="27" t="n">
        <v>14</v>
      </c>
      <c r="H11" s="51" t="n">
        <f aca="false">SUM(C11:G11)</f>
        <v>182</v>
      </c>
      <c r="I11" s="52" t="n">
        <f aca="false">ROUNDUP(AVERAGE(C11:G11),0)</f>
        <v>37</v>
      </c>
      <c r="J11" s="53" t="str">
        <f aca="false">IF(I11&gt;=90,"A++",IF(I11&gt;=80,"A+",IF(I11&gt;=70,"A",IF(I11&gt;=60,"B+",IF(I11&gt;=35,"B","F")))))</f>
        <v>B</v>
      </c>
      <c r="K11" s="54" t="str">
        <f aca="false">IF(J11="F","Fail","Pass")</f>
        <v>Pass</v>
      </c>
    </row>
    <row r="12" customFormat="false" ht="15" hidden="false" customHeight="true" outlineLevel="0" collapsed="false">
      <c r="A12" s="42" t="n">
        <v>90</v>
      </c>
      <c r="B12" s="43" t="s">
        <v>327</v>
      </c>
      <c r="C12" s="44" t="n">
        <v>86</v>
      </c>
      <c r="D12" s="44" t="n">
        <v>19</v>
      </c>
      <c r="E12" s="44" t="n">
        <v>15</v>
      </c>
      <c r="F12" s="44" t="n">
        <v>33</v>
      </c>
      <c r="G12" s="44" t="n">
        <v>35</v>
      </c>
      <c r="H12" s="45" t="n">
        <f aca="false">SUM(C12:G12)</f>
        <v>188</v>
      </c>
      <c r="I12" s="46" t="n">
        <f aca="false">ROUNDUP(AVERAGE(C12:G12),0)</f>
        <v>38</v>
      </c>
      <c r="J12" s="47" t="str">
        <f aca="false">IF(I12&gt;=90,"A++",IF(I12&gt;=80,"A+",IF(I12&gt;=70,"A",IF(I12&gt;=60,"B+",IF(I12&gt;=35,"B","F")))))</f>
        <v>B</v>
      </c>
      <c r="K12" s="48" t="str">
        <f aca="false">IF(J12="F","Fail","Pass")</f>
        <v>Pass</v>
      </c>
    </row>
    <row r="13" customFormat="false" ht="15" hidden="false" customHeight="true" outlineLevel="0" collapsed="false">
      <c r="A13" s="49" t="n">
        <v>16</v>
      </c>
      <c r="B13" s="50" t="s">
        <v>328</v>
      </c>
      <c r="C13" s="27" t="n">
        <v>39</v>
      </c>
      <c r="D13" s="27" t="n">
        <v>10</v>
      </c>
      <c r="E13" s="27" t="n">
        <v>27</v>
      </c>
      <c r="F13" s="27" t="n">
        <v>90</v>
      </c>
      <c r="G13" s="27" t="n">
        <v>34</v>
      </c>
      <c r="H13" s="51" t="n">
        <f aca="false">SUM(C13:G13)</f>
        <v>200</v>
      </c>
      <c r="I13" s="52" t="n">
        <f aca="false">ROUNDUP(AVERAGE(C13:G13),0)</f>
        <v>40</v>
      </c>
      <c r="J13" s="53" t="str">
        <f aca="false">IF(I13&gt;=90,"A++",IF(I13&gt;=80,"A+",IF(I13&gt;=70,"A",IF(I13&gt;=60,"B+",IF(I13&gt;=35,"B","F")))))</f>
        <v>B</v>
      </c>
      <c r="K13" s="54" t="str">
        <f aca="false">IF(J13="F","Fail","Pass")</f>
        <v>Pass</v>
      </c>
    </row>
    <row r="14" customFormat="false" ht="15" hidden="false" customHeight="true" outlineLevel="0" collapsed="false">
      <c r="A14" s="42" t="n">
        <v>34</v>
      </c>
      <c r="B14" s="43" t="s">
        <v>329</v>
      </c>
      <c r="C14" s="44" t="n">
        <v>53</v>
      </c>
      <c r="D14" s="44" t="n">
        <v>72</v>
      </c>
      <c r="E14" s="44" t="n">
        <v>31</v>
      </c>
      <c r="F14" s="44" t="n">
        <v>23</v>
      </c>
      <c r="G14" s="44" t="n">
        <v>21</v>
      </c>
      <c r="H14" s="45" t="n">
        <f aca="false">SUM(C14:G14)</f>
        <v>200</v>
      </c>
      <c r="I14" s="46" t="n">
        <f aca="false">ROUNDUP(AVERAGE(C14:G14),0)</f>
        <v>40</v>
      </c>
      <c r="J14" s="47" t="str">
        <f aca="false">IF(I14&gt;=90,"A++",IF(I14&gt;=80,"A+",IF(I14&gt;=70,"A",IF(I14&gt;=60,"B+",IF(I14&gt;=35,"B","F")))))</f>
        <v>B</v>
      </c>
      <c r="K14" s="48" t="str">
        <f aca="false">IF(J14="F","Fail","Pass")</f>
        <v>Pass</v>
      </c>
    </row>
    <row r="15" customFormat="false" ht="15" hidden="false" customHeight="true" outlineLevel="0" collapsed="false">
      <c r="A15" s="49" t="n">
        <v>7</v>
      </c>
      <c r="B15" s="50" t="s">
        <v>330</v>
      </c>
      <c r="C15" s="27" t="n">
        <v>18</v>
      </c>
      <c r="D15" s="27" t="n">
        <v>46</v>
      </c>
      <c r="E15" s="27" t="n">
        <v>51</v>
      </c>
      <c r="F15" s="27" t="n">
        <v>63</v>
      </c>
      <c r="G15" s="27" t="n">
        <v>22</v>
      </c>
      <c r="H15" s="51" t="n">
        <f aca="false">SUM(C15:G15)</f>
        <v>200</v>
      </c>
      <c r="I15" s="52" t="n">
        <f aca="false">ROUNDUP(AVERAGE(C15:G15),0)</f>
        <v>40</v>
      </c>
      <c r="J15" s="53" t="str">
        <f aca="false">IF(I15&gt;=90,"A++",IF(I15&gt;=80,"A+",IF(I15&gt;=70,"A",IF(I15&gt;=60,"B+",IF(I15&gt;=35,"B","F")))))</f>
        <v>B</v>
      </c>
      <c r="K15" s="54" t="str">
        <f aca="false">IF(J15="F","Fail","Pass")</f>
        <v>Pass</v>
      </c>
    </row>
    <row r="16" customFormat="false" ht="15" hidden="false" customHeight="true" outlineLevel="0" collapsed="false">
      <c r="A16" s="42" t="n">
        <v>38</v>
      </c>
      <c r="B16" s="43" t="s">
        <v>331</v>
      </c>
      <c r="C16" s="44" t="n">
        <v>33</v>
      </c>
      <c r="D16" s="44" t="n">
        <v>57</v>
      </c>
      <c r="E16" s="44" t="n">
        <v>12</v>
      </c>
      <c r="F16" s="44" t="n">
        <v>47</v>
      </c>
      <c r="G16" s="44" t="n">
        <v>54</v>
      </c>
      <c r="H16" s="45" t="n">
        <f aca="false">SUM(C16:G16)</f>
        <v>203</v>
      </c>
      <c r="I16" s="46" t="n">
        <f aca="false">ROUNDUP(AVERAGE(C16:G16),0)</f>
        <v>41</v>
      </c>
      <c r="J16" s="47" t="str">
        <f aca="false">IF(I16&gt;=90,"A++",IF(I16&gt;=80,"A+",IF(I16&gt;=70,"A",IF(I16&gt;=60,"B+",IF(I16&gt;=35,"B","F")))))</f>
        <v>B</v>
      </c>
      <c r="K16" s="48" t="str">
        <f aca="false">IF(J16="F","Fail","Pass")</f>
        <v>Pass</v>
      </c>
    </row>
    <row r="17" customFormat="false" ht="15" hidden="false" customHeight="true" outlineLevel="0" collapsed="false">
      <c r="A17" s="49" t="n">
        <v>93</v>
      </c>
      <c r="B17" s="50" t="s">
        <v>332</v>
      </c>
      <c r="C17" s="27" t="n">
        <v>38</v>
      </c>
      <c r="D17" s="27" t="n">
        <v>16</v>
      </c>
      <c r="E17" s="27" t="n">
        <v>48</v>
      </c>
      <c r="F17" s="27" t="n">
        <v>48</v>
      </c>
      <c r="G17" s="27" t="n">
        <v>56</v>
      </c>
      <c r="H17" s="51" t="n">
        <f aca="false">SUM(C17:G17)</f>
        <v>206</v>
      </c>
      <c r="I17" s="52" t="n">
        <f aca="false">ROUNDUP(AVERAGE(C17:G17),0)</f>
        <v>42</v>
      </c>
      <c r="J17" s="53" t="str">
        <f aca="false">IF(I17&gt;=90,"A++",IF(I17&gt;=80,"A+",IF(I17&gt;=70,"A",IF(I17&gt;=60,"B+",IF(I17&gt;=35,"B","F")))))</f>
        <v>B</v>
      </c>
      <c r="K17" s="54" t="str">
        <f aca="false">IF(J17="F","Fail","Pass")</f>
        <v>Pass</v>
      </c>
    </row>
    <row r="18" customFormat="false" ht="15" hidden="false" customHeight="true" outlineLevel="0" collapsed="false">
      <c r="A18" s="42" t="n">
        <v>37</v>
      </c>
      <c r="B18" s="43" t="s">
        <v>333</v>
      </c>
      <c r="C18" s="44" t="n">
        <v>32</v>
      </c>
      <c r="D18" s="44" t="n">
        <v>99</v>
      </c>
      <c r="E18" s="44" t="n">
        <v>36</v>
      </c>
      <c r="F18" s="44" t="n">
        <v>16</v>
      </c>
      <c r="G18" s="44" t="n">
        <v>23</v>
      </c>
      <c r="H18" s="45" t="n">
        <f aca="false">SUM(C18:G18)</f>
        <v>206</v>
      </c>
      <c r="I18" s="46" t="n">
        <f aca="false">ROUNDUP(AVERAGE(C18:G18),0)</f>
        <v>42</v>
      </c>
      <c r="J18" s="47" t="str">
        <f aca="false">IF(I18&gt;=90,"A++",IF(I18&gt;=80,"A+",IF(I18&gt;=70,"A",IF(I18&gt;=60,"B+",IF(I18&gt;=35,"B","F")))))</f>
        <v>B</v>
      </c>
      <c r="K18" s="48" t="str">
        <f aca="false">IF(J18="F","Fail","Pass")</f>
        <v>Pass</v>
      </c>
    </row>
    <row r="19" customFormat="false" ht="15" hidden="false" customHeight="true" outlineLevel="0" collapsed="false">
      <c r="A19" s="49" t="n">
        <v>44</v>
      </c>
      <c r="B19" s="50" t="s">
        <v>334</v>
      </c>
      <c r="C19" s="27" t="n">
        <v>47</v>
      </c>
      <c r="D19" s="27" t="n">
        <v>34</v>
      </c>
      <c r="E19" s="27" t="n">
        <v>51</v>
      </c>
      <c r="F19" s="27" t="n">
        <v>44</v>
      </c>
      <c r="G19" s="27" t="n">
        <v>30</v>
      </c>
      <c r="H19" s="51" t="n">
        <f aca="false">SUM(C19:G19)</f>
        <v>206</v>
      </c>
      <c r="I19" s="52" t="n">
        <f aca="false">ROUNDUP(AVERAGE(C19:G19),0)</f>
        <v>42</v>
      </c>
      <c r="J19" s="53" t="str">
        <f aca="false">IF(I19&gt;=90,"A++",IF(I19&gt;=80,"A+",IF(I19&gt;=70,"A",IF(I19&gt;=60,"B+",IF(I19&gt;=35,"B","F")))))</f>
        <v>B</v>
      </c>
      <c r="K19" s="54" t="str">
        <f aca="false">IF(J19="F","Fail","Pass")</f>
        <v>Pass</v>
      </c>
    </row>
    <row r="20" customFormat="false" ht="15" hidden="false" customHeight="true" outlineLevel="0" collapsed="false">
      <c r="A20" s="42" t="n">
        <v>104</v>
      </c>
      <c r="B20" s="43" t="s">
        <v>335</v>
      </c>
      <c r="C20" s="44" t="n">
        <v>14</v>
      </c>
      <c r="D20" s="44" t="n">
        <v>35</v>
      </c>
      <c r="E20" s="44" t="n">
        <v>97</v>
      </c>
      <c r="F20" s="44" t="n">
        <v>18</v>
      </c>
      <c r="G20" s="44" t="n">
        <v>45</v>
      </c>
      <c r="H20" s="45" t="n">
        <f aca="false">SUM(C20:G20)</f>
        <v>209</v>
      </c>
      <c r="I20" s="46" t="n">
        <f aca="false">ROUNDUP(AVERAGE(C20:G20),0)</f>
        <v>42</v>
      </c>
      <c r="J20" s="47" t="str">
        <f aca="false">IF(I20&gt;=90,"A++",IF(I20&gt;=80,"A+",IF(I20&gt;=70,"A",IF(I20&gt;=60,"B+",IF(I20&gt;=35,"B","F")))))</f>
        <v>B</v>
      </c>
      <c r="K20" s="48" t="str">
        <f aca="false">IF(J20="F","Fail","Pass")</f>
        <v>Pass</v>
      </c>
    </row>
    <row r="21" customFormat="false" ht="15" hidden="false" customHeight="true" outlineLevel="0" collapsed="false">
      <c r="A21" s="49" t="n">
        <v>86</v>
      </c>
      <c r="B21" s="50" t="s">
        <v>336</v>
      </c>
      <c r="C21" s="27" t="n">
        <v>48</v>
      </c>
      <c r="D21" s="27" t="n">
        <v>23</v>
      </c>
      <c r="E21" s="27" t="n">
        <v>78</v>
      </c>
      <c r="F21" s="27" t="n">
        <v>18</v>
      </c>
      <c r="G21" s="27" t="n">
        <v>45</v>
      </c>
      <c r="H21" s="51" t="n">
        <f aca="false">SUM(C21:G21)</f>
        <v>212</v>
      </c>
      <c r="I21" s="52" t="n">
        <f aca="false">ROUNDUP(AVERAGE(C21:G21),0)</f>
        <v>43</v>
      </c>
      <c r="J21" s="53" t="str">
        <f aca="false">IF(I21&gt;=90,"A++",IF(I21&gt;=80,"A+",IF(I21&gt;=70,"A",IF(I21&gt;=60,"B+",IF(I21&gt;=35,"B","F")))))</f>
        <v>B</v>
      </c>
      <c r="K21" s="54" t="str">
        <f aca="false">IF(J21="F","Fail","Pass")</f>
        <v>Pass</v>
      </c>
    </row>
    <row r="22" customFormat="false" ht="15" hidden="false" customHeight="true" outlineLevel="0" collapsed="false">
      <c r="A22" s="42" t="n">
        <v>18</v>
      </c>
      <c r="B22" s="43" t="s">
        <v>337</v>
      </c>
      <c r="C22" s="44" t="n">
        <v>30</v>
      </c>
      <c r="D22" s="44" t="n">
        <v>14</v>
      </c>
      <c r="E22" s="44" t="n">
        <v>33</v>
      </c>
      <c r="F22" s="44" t="n">
        <v>52</v>
      </c>
      <c r="G22" s="44" t="n">
        <v>84</v>
      </c>
      <c r="H22" s="45" t="n">
        <f aca="false">SUM(C22:G22)</f>
        <v>213</v>
      </c>
      <c r="I22" s="46" t="n">
        <f aca="false">ROUNDUP(AVERAGE(C22:G22),0)</f>
        <v>43</v>
      </c>
      <c r="J22" s="47" t="str">
        <f aca="false">IF(I22&gt;=90,"A++",IF(I22&gt;=80,"A+",IF(I22&gt;=70,"A",IF(I22&gt;=60,"B+",IF(I22&gt;=35,"B","F")))))</f>
        <v>B</v>
      </c>
      <c r="K22" s="48" t="str">
        <f aca="false">IF(J22="F","Fail","Pass")</f>
        <v>Pass</v>
      </c>
    </row>
    <row r="23" customFormat="false" ht="15" hidden="false" customHeight="true" outlineLevel="0" collapsed="false">
      <c r="A23" s="49" t="n">
        <v>67</v>
      </c>
      <c r="B23" s="50" t="s">
        <v>338</v>
      </c>
      <c r="C23" s="27" t="n">
        <v>19</v>
      </c>
      <c r="D23" s="27" t="n">
        <v>43</v>
      </c>
      <c r="E23" s="27" t="n">
        <v>46</v>
      </c>
      <c r="F23" s="27" t="n">
        <v>11</v>
      </c>
      <c r="G23" s="27" t="n">
        <v>94</v>
      </c>
      <c r="H23" s="51" t="n">
        <f aca="false">SUM(C23:G23)</f>
        <v>213</v>
      </c>
      <c r="I23" s="52" t="n">
        <f aca="false">ROUNDUP(AVERAGE(C23:G23),0)</f>
        <v>43</v>
      </c>
      <c r="J23" s="53" t="str">
        <f aca="false">IF(I23&gt;=90,"A++",IF(I23&gt;=80,"A+",IF(I23&gt;=70,"A",IF(I23&gt;=60,"B+",IF(I23&gt;=35,"B","F")))))</f>
        <v>B</v>
      </c>
      <c r="K23" s="54" t="str">
        <f aca="false">IF(J23="F","Fail","Pass")</f>
        <v>Pass</v>
      </c>
    </row>
    <row r="24" customFormat="false" ht="15" hidden="false" customHeight="true" outlineLevel="0" collapsed="false">
      <c r="A24" s="42" t="n">
        <v>25</v>
      </c>
      <c r="B24" s="43" t="s">
        <v>339</v>
      </c>
      <c r="C24" s="44" t="n">
        <v>19</v>
      </c>
      <c r="D24" s="44" t="n">
        <v>32</v>
      </c>
      <c r="E24" s="44" t="n">
        <v>20</v>
      </c>
      <c r="F24" s="44" t="n">
        <v>62</v>
      </c>
      <c r="G24" s="44" t="n">
        <v>80</v>
      </c>
      <c r="H24" s="45" t="n">
        <f aca="false">SUM(C24:G24)</f>
        <v>213</v>
      </c>
      <c r="I24" s="46" t="n">
        <f aca="false">ROUNDUP(AVERAGE(C24:G24),0)</f>
        <v>43</v>
      </c>
      <c r="J24" s="47" t="str">
        <f aca="false">IF(I24&gt;=90,"A++",IF(I24&gt;=80,"A+",IF(I24&gt;=70,"A",IF(I24&gt;=60,"B+",IF(I24&gt;=35,"B","F")))))</f>
        <v>B</v>
      </c>
      <c r="K24" s="48" t="str">
        <f aca="false">IF(J24="F","Fail","Pass")</f>
        <v>Pass</v>
      </c>
    </row>
    <row r="25" customFormat="false" ht="15" hidden="false" customHeight="true" outlineLevel="0" collapsed="false">
      <c r="A25" s="49" t="n">
        <v>114</v>
      </c>
      <c r="B25" s="50" t="s">
        <v>340</v>
      </c>
      <c r="C25" s="27" t="n">
        <v>27</v>
      </c>
      <c r="D25" s="27" t="n">
        <v>43</v>
      </c>
      <c r="E25" s="27" t="n">
        <v>55</v>
      </c>
      <c r="F25" s="27" t="n">
        <v>64</v>
      </c>
      <c r="G25" s="27" t="n">
        <v>28</v>
      </c>
      <c r="H25" s="51" t="n">
        <f aca="false">SUM(C25:G25)</f>
        <v>217</v>
      </c>
      <c r="I25" s="52" t="n">
        <f aca="false">ROUNDUP(AVERAGE(C25:G25),0)</f>
        <v>44</v>
      </c>
      <c r="J25" s="53" t="str">
        <f aca="false">IF(I25&gt;=90,"A++",IF(I25&gt;=80,"A+",IF(I25&gt;=70,"A",IF(I25&gt;=60,"B+",IF(I25&gt;=35,"B","F")))))</f>
        <v>B</v>
      </c>
      <c r="K25" s="54" t="str">
        <f aca="false">IF(J25="F","Fail","Pass")</f>
        <v>Pass</v>
      </c>
    </row>
    <row r="26" customFormat="false" ht="15" hidden="false" customHeight="true" outlineLevel="0" collapsed="false">
      <c r="A26" s="42" t="n">
        <v>54</v>
      </c>
      <c r="B26" s="43" t="s">
        <v>341</v>
      </c>
      <c r="C26" s="44" t="n">
        <v>54</v>
      </c>
      <c r="D26" s="44" t="n">
        <v>39</v>
      </c>
      <c r="E26" s="44" t="n">
        <v>36</v>
      </c>
      <c r="F26" s="44" t="n">
        <v>35</v>
      </c>
      <c r="G26" s="44" t="n">
        <v>53</v>
      </c>
      <c r="H26" s="45" t="n">
        <f aca="false">SUM(C26:G26)</f>
        <v>217</v>
      </c>
      <c r="I26" s="46" t="n">
        <f aca="false">ROUNDUP(AVERAGE(C26:G26),0)</f>
        <v>44</v>
      </c>
      <c r="J26" s="47" t="str">
        <f aca="false">IF(I26&gt;=90,"A++",IF(I26&gt;=80,"A+",IF(I26&gt;=70,"A",IF(I26&gt;=60,"B+",IF(I26&gt;=35,"B","F")))))</f>
        <v>B</v>
      </c>
      <c r="K26" s="48" t="str">
        <f aca="false">IF(J26="F","Fail","Pass")</f>
        <v>Pass</v>
      </c>
    </row>
    <row r="27" customFormat="false" ht="15" hidden="false" customHeight="true" outlineLevel="0" collapsed="false">
      <c r="A27" s="49" t="n">
        <v>112</v>
      </c>
      <c r="B27" s="50" t="s">
        <v>342</v>
      </c>
      <c r="C27" s="27" t="n">
        <v>19</v>
      </c>
      <c r="D27" s="27" t="n">
        <v>39</v>
      </c>
      <c r="E27" s="27" t="n">
        <v>48</v>
      </c>
      <c r="F27" s="27" t="n">
        <v>80</v>
      </c>
      <c r="G27" s="27" t="n">
        <v>36</v>
      </c>
      <c r="H27" s="51" t="n">
        <f aca="false">SUM(C27:G27)</f>
        <v>222</v>
      </c>
      <c r="I27" s="52" t="n">
        <f aca="false">ROUNDUP(AVERAGE(C27:G27),0)</f>
        <v>45</v>
      </c>
      <c r="J27" s="53" t="str">
        <f aca="false">IF(I27&gt;=90,"A++",IF(I27&gt;=80,"A+",IF(I27&gt;=70,"A",IF(I27&gt;=60,"B+",IF(I27&gt;=35,"B","F")))))</f>
        <v>B</v>
      </c>
      <c r="K27" s="54" t="str">
        <f aca="false">IF(J27="F","Fail","Pass")</f>
        <v>Pass</v>
      </c>
    </row>
    <row r="28" customFormat="false" ht="15" hidden="false" customHeight="true" outlineLevel="0" collapsed="false">
      <c r="A28" s="42" t="n">
        <v>4</v>
      </c>
      <c r="B28" s="43" t="s">
        <v>343</v>
      </c>
      <c r="C28" s="44" t="n">
        <v>76</v>
      </c>
      <c r="D28" s="44" t="n">
        <v>68</v>
      </c>
      <c r="E28" s="44" t="n">
        <v>46</v>
      </c>
      <c r="F28" s="44" t="n">
        <v>11</v>
      </c>
      <c r="G28" s="44" t="n">
        <v>22</v>
      </c>
      <c r="H28" s="45" t="n">
        <f aca="false">SUM(C28:G28)</f>
        <v>223</v>
      </c>
      <c r="I28" s="46" t="n">
        <f aca="false">ROUNDUP(AVERAGE(C28:G28),0)</f>
        <v>45</v>
      </c>
      <c r="J28" s="47" t="str">
        <f aca="false">IF(I28&gt;=90,"A++",IF(I28&gt;=80,"A+",IF(I28&gt;=70,"A",IF(I28&gt;=60,"B+",IF(I28&gt;=35,"B","F")))))</f>
        <v>B</v>
      </c>
      <c r="K28" s="48" t="str">
        <f aca="false">IF(J28="F","Fail","Pass")</f>
        <v>Pass</v>
      </c>
    </row>
    <row r="29" customFormat="false" ht="15" hidden="false" customHeight="true" outlineLevel="0" collapsed="false">
      <c r="A29" s="49" t="n">
        <v>58</v>
      </c>
      <c r="B29" s="50" t="s">
        <v>344</v>
      </c>
      <c r="C29" s="27" t="n">
        <v>42</v>
      </c>
      <c r="D29" s="27" t="n">
        <v>31</v>
      </c>
      <c r="E29" s="27" t="n">
        <v>67</v>
      </c>
      <c r="F29" s="27" t="n">
        <v>71</v>
      </c>
      <c r="G29" s="27" t="n">
        <v>12</v>
      </c>
      <c r="H29" s="51" t="n">
        <f aca="false">SUM(C29:G29)</f>
        <v>223</v>
      </c>
      <c r="I29" s="52" t="n">
        <f aca="false">ROUNDUP(AVERAGE(C29:G29),0)</f>
        <v>45</v>
      </c>
      <c r="J29" s="53" t="str">
        <f aca="false">IF(I29&gt;=90,"A++",IF(I29&gt;=80,"A+",IF(I29&gt;=70,"A",IF(I29&gt;=60,"B+",IF(I29&gt;=35,"B","F")))))</f>
        <v>B</v>
      </c>
      <c r="K29" s="54" t="str">
        <f aca="false">IF(J29="F","Fail","Pass")</f>
        <v>Pass</v>
      </c>
    </row>
    <row r="30" customFormat="false" ht="15" hidden="false" customHeight="true" outlineLevel="0" collapsed="false">
      <c r="A30" s="42" t="n">
        <v>3</v>
      </c>
      <c r="B30" s="43" t="s">
        <v>345</v>
      </c>
      <c r="C30" s="44" t="n">
        <v>19</v>
      </c>
      <c r="D30" s="44" t="n">
        <v>72</v>
      </c>
      <c r="E30" s="44" t="n">
        <v>41</v>
      </c>
      <c r="F30" s="44" t="n">
        <v>53</v>
      </c>
      <c r="G30" s="44" t="n">
        <v>40</v>
      </c>
      <c r="H30" s="45" t="n">
        <f aca="false">SUM(C30:G30)</f>
        <v>225</v>
      </c>
      <c r="I30" s="46" t="n">
        <f aca="false">ROUNDUP(AVERAGE(C30:G30),0)</f>
        <v>45</v>
      </c>
      <c r="J30" s="47" t="str">
        <f aca="false">IF(I30&gt;=90,"A++",IF(I30&gt;=80,"A+",IF(I30&gt;=70,"A",IF(I30&gt;=60,"B+",IF(I30&gt;=35,"B","F")))))</f>
        <v>B</v>
      </c>
      <c r="K30" s="48" t="str">
        <f aca="false">IF(J30="F","Fail","Pass")</f>
        <v>Pass</v>
      </c>
    </row>
    <row r="31" customFormat="false" ht="15" hidden="false" customHeight="true" outlineLevel="0" collapsed="false">
      <c r="A31" s="49" t="n">
        <v>29</v>
      </c>
      <c r="B31" s="50" t="s">
        <v>346</v>
      </c>
      <c r="C31" s="27" t="n">
        <v>67</v>
      </c>
      <c r="D31" s="27" t="n">
        <v>17</v>
      </c>
      <c r="E31" s="27" t="n">
        <v>22</v>
      </c>
      <c r="F31" s="27" t="n">
        <v>66</v>
      </c>
      <c r="G31" s="27" t="n">
        <v>54</v>
      </c>
      <c r="H31" s="51" t="n">
        <f aca="false">SUM(C31:G31)</f>
        <v>226</v>
      </c>
      <c r="I31" s="52" t="n">
        <f aca="false">ROUNDUP(AVERAGE(C31:G31),0)</f>
        <v>46</v>
      </c>
      <c r="J31" s="53" t="str">
        <f aca="false">IF(I31&gt;=90,"A++",IF(I31&gt;=80,"A+",IF(I31&gt;=70,"A",IF(I31&gt;=60,"B+",IF(I31&gt;=35,"B","F")))))</f>
        <v>B</v>
      </c>
      <c r="K31" s="54" t="str">
        <f aca="false">IF(J31="F","Fail","Pass")</f>
        <v>Pass</v>
      </c>
    </row>
    <row r="32" customFormat="false" ht="15" hidden="false" customHeight="true" outlineLevel="0" collapsed="false">
      <c r="A32" s="42" t="n">
        <v>92</v>
      </c>
      <c r="B32" s="43" t="s">
        <v>347</v>
      </c>
      <c r="C32" s="44" t="n">
        <v>79</v>
      </c>
      <c r="D32" s="44" t="n">
        <v>29</v>
      </c>
      <c r="E32" s="44" t="n">
        <v>45</v>
      </c>
      <c r="F32" s="44" t="n">
        <v>45</v>
      </c>
      <c r="G32" s="44" t="n">
        <v>28</v>
      </c>
      <c r="H32" s="45" t="n">
        <f aca="false">SUM(C32:G32)</f>
        <v>226</v>
      </c>
      <c r="I32" s="46" t="n">
        <f aca="false">ROUNDUP(AVERAGE(C32:G32),0)</f>
        <v>46</v>
      </c>
      <c r="J32" s="47" t="str">
        <f aca="false">IF(I32&gt;=90,"A++",IF(I32&gt;=80,"A+",IF(I32&gt;=70,"A",IF(I32&gt;=60,"B+",IF(I32&gt;=35,"B","F")))))</f>
        <v>B</v>
      </c>
      <c r="K32" s="48" t="str">
        <f aca="false">IF(J32="F","Fail","Pass")</f>
        <v>Pass</v>
      </c>
    </row>
    <row r="33" customFormat="false" ht="15" hidden="false" customHeight="true" outlineLevel="0" collapsed="false">
      <c r="A33" s="49" t="n">
        <v>88</v>
      </c>
      <c r="B33" s="50" t="s">
        <v>348</v>
      </c>
      <c r="C33" s="27" t="n">
        <v>16</v>
      </c>
      <c r="D33" s="27" t="n">
        <v>70</v>
      </c>
      <c r="E33" s="27" t="n">
        <v>46</v>
      </c>
      <c r="F33" s="27" t="n">
        <v>19</v>
      </c>
      <c r="G33" s="27" t="n">
        <v>76</v>
      </c>
      <c r="H33" s="51" t="n">
        <f aca="false">SUM(C33:G33)</f>
        <v>227</v>
      </c>
      <c r="I33" s="52" t="n">
        <f aca="false">ROUNDUP(AVERAGE(C33:G33),0)</f>
        <v>46</v>
      </c>
      <c r="J33" s="53" t="str">
        <f aca="false">IF(I33&gt;=90,"A++",IF(I33&gt;=80,"A+",IF(I33&gt;=70,"A",IF(I33&gt;=60,"B+",IF(I33&gt;=35,"B","F")))))</f>
        <v>B</v>
      </c>
      <c r="K33" s="54" t="str">
        <f aca="false">IF(J33="F","Fail","Pass")</f>
        <v>Pass</v>
      </c>
    </row>
    <row r="34" customFormat="false" ht="15" hidden="false" customHeight="true" outlineLevel="0" collapsed="false">
      <c r="A34" s="42" t="n">
        <v>1</v>
      </c>
      <c r="B34" s="43" t="s">
        <v>349</v>
      </c>
      <c r="C34" s="44" t="n">
        <v>97</v>
      </c>
      <c r="D34" s="44" t="n">
        <v>36</v>
      </c>
      <c r="E34" s="44" t="n">
        <v>47</v>
      </c>
      <c r="F34" s="44" t="n">
        <v>13</v>
      </c>
      <c r="G34" s="44" t="n">
        <v>34</v>
      </c>
      <c r="H34" s="45" t="n">
        <f aca="false">SUM(C34:G34)</f>
        <v>227</v>
      </c>
      <c r="I34" s="46" t="n">
        <f aca="false">ROUNDUP(AVERAGE(C34:G34),0)</f>
        <v>46</v>
      </c>
      <c r="J34" s="47" t="str">
        <f aca="false">IF(I34&gt;=90,"A++",IF(I34&gt;=80,"A+",IF(I34&gt;=70,"A",IF(I34&gt;=60,"B+",IF(I34&gt;=35,"B","F")))))</f>
        <v>B</v>
      </c>
      <c r="K34" s="48" t="str">
        <f aca="false">IF(J34="F","Fail","Pass")</f>
        <v>Pass</v>
      </c>
    </row>
    <row r="35" customFormat="false" ht="15" hidden="false" customHeight="true" outlineLevel="0" collapsed="false">
      <c r="A35" s="49" t="n">
        <v>65</v>
      </c>
      <c r="B35" s="50" t="s">
        <v>350</v>
      </c>
      <c r="C35" s="27" t="n">
        <v>21</v>
      </c>
      <c r="D35" s="27" t="n">
        <v>60</v>
      </c>
      <c r="E35" s="27" t="n">
        <v>13</v>
      </c>
      <c r="F35" s="27" t="n">
        <v>39</v>
      </c>
      <c r="G35" s="27" t="n">
        <v>96</v>
      </c>
      <c r="H35" s="51" t="n">
        <f aca="false">SUM(C35:G35)</f>
        <v>229</v>
      </c>
      <c r="I35" s="52" t="n">
        <f aca="false">ROUNDUP(AVERAGE(C35:G35),0)</f>
        <v>46</v>
      </c>
      <c r="J35" s="53" t="str">
        <f aca="false">IF(I35&gt;=90,"A++",IF(I35&gt;=80,"A+",IF(I35&gt;=70,"A",IF(I35&gt;=60,"B+",IF(I35&gt;=35,"B","F")))))</f>
        <v>B</v>
      </c>
      <c r="K35" s="54" t="str">
        <f aca="false">IF(J35="F","Fail","Pass")</f>
        <v>Pass</v>
      </c>
    </row>
    <row r="36" customFormat="false" ht="15" hidden="false" customHeight="true" outlineLevel="0" collapsed="false">
      <c r="A36" s="42" t="n">
        <v>60</v>
      </c>
      <c r="B36" s="43" t="s">
        <v>351</v>
      </c>
      <c r="C36" s="44" t="n">
        <v>14</v>
      </c>
      <c r="D36" s="44" t="n">
        <v>69</v>
      </c>
      <c r="E36" s="44" t="n">
        <v>81</v>
      </c>
      <c r="F36" s="44" t="n">
        <v>15</v>
      </c>
      <c r="G36" s="44" t="n">
        <v>51</v>
      </c>
      <c r="H36" s="45" t="n">
        <f aca="false">SUM(C36:G36)</f>
        <v>230</v>
      </c>
      <c r="I36" s="46" t="n">
        <f aca="false">ROUNDUP(AVERAGE(C36:G36),0)</f>
        <v>46</v>
      </c>
      <c r="J36" s="47" t="str">
        <f aca="false">IF(I36&gt;=90,"A++",IF(I36&gt;=80,"A+",IF(I36&gt;=70,"A",IF(I36&gt;=60,"B+",IF(I36&gt;=35,"B","F")))))</f>
        <v>B</v>
      </c>
      <c r="K36" s="48" t="str">
        <f aca="false">IF(J36="F","Fail","Pass")</f>
        <v>Pass</v>
      </c>
    </row>
    <row r="37" customFormat="false" ht="15" hidden="false" customHeight="true" outlineLevel="0" collapsed="false">
      <c r="A37" s="49" t="n">
        <v>30</v>
      </c>
      <c r="B37" s="50" t="s">
        <v>352</v>
      </c>
      <c r="C37" s="27" t="n">
        <v>25</v>
      </c>
      <c r="D37" s="27" t="n">
        <v>29</v>
      </c>
      <c r="E37" s="27" t="n">
        <v>95</v>
      </c>
      <c r="F37" s="27" t="n">
        <v>71</v>
      </c>
      <c r="G37" s="27" t="n">
        <v>10</v>
      </c>
      <c r="H37" s="51" t="n">
        <f aca="false">SUM(C37:G37)</f>
        <v>230</v>
      </c>
      <c r="I37" s="52" t="n">
        <f aca="false">ROUNDUP(AVERAGE(C37:G37),0)</f>
        <v>46</v>
      </c>
      <c r="J37" s="53" t="str">
        <f aca="false">IF(I37&gt;=90,"A++",IF(I37&gt;=80,"A+",IF(I37&gt;=70,"A",IF(I37&gt;=60,"B+",IF(I37&gt;=35,"B","F")))))</f>
        <v>B</v>
      </c>
      <c r="K37" s="54" t="str">
        <f aca="false">IF(J37="F","Fail","Pass")</f>
        <v>Pass</v>
      </c>
    </row>
    <row r="38" customFormat="false" ht="15" hidden="false" customHeight="true" outlineLevel="0" collapsed="false">
      <c r="A38" s="42" t="n">
        <v>46</v>
      </c>
      <c r="B38" s="43" t="s">
        <v>353</v>
      </c>
      <c r="C38" s="44" t="n">
        <v>31</v>
      </c>
      <c r="D38" s="44" t="n">
        <v>32</v>
      </c>
      <c r="E38" s="44" t="n">
        <v>100</v>
      </c>
      <c r="F38" s="44" t="n">
        <v>18</v>
      </c>
      <c r="G38" s="44" t="n">
        <v>52</v>
      </c>
      <c r="H38" s="45" t="n">
        <f aca="false">SUM(C38:G38)</f>
        <v>233</v>
      </c>
      <c r="I38" s="46" t="n">
        <f aca="false">ROUNDUP(AVERAGE(C38:G38),0)</f>
        <v>47</v>
      </c>
      <c r="J38" s="47" t="str">
        <f aca="false">IF(I38&gt;=90,"A++",IF(I38&gt;=80,"A+",IF(I38&gt;=70,"A",IF(I38&gt;=60,"B+",IF(I38&gt;=35,"B","F")))))</f>
        <v>B</v>
      </c>
      <c r="K38" s="48" t="str">
        <f aca="false">IF(J38="F","Fail","Pass")</f>
        <v>Pass</v>
      </c>
    </row>
    <row r="39" customFormat="false" ht="15" hidden="false" customHeight="true" outlineLevel="0" collapsed="false">
      <c r="A39" s="49" t="n">
        <v>36</v>
      </c>
      <c r="B39" s="50" t="s">
        <v>354</v>
      </c>
      <c r="C39" s="27" t="n">
        <v>12</v>
      </c>
      <c r="D39" s="27" t="n">
        <v>89</v>
      </c>
      <c r="E39" s="27" t="n">
        <v>39</v>
      </c>
      <c r="F39" s="27" t="n">
        <v>78</v>
      </c>
      <c r="G39" s="27" t="n">
        <v>16</v>
      </c>
      <c r="H39" s="51" t="n">
        <f aca="false">SUM(C39:G39)</f>
        <v>234</v>
      </c>
      <c r="I39" s="52" t="n">
        <f aca="false">ROUNDUP(AVERAGE(C39:G39),0)</f>
        <v>47</v>
      </c>
      <c r="J39" s="53" t="str">
        <f aca="false">IF(I39&gt;=90,"A++",IF(I39&gt;=80,"A+",IF(I39&gt;=70,"A",IF(I39&gt;=60,"B+",IF(I39&gt;=35,"B","F")))))</f>
        <v>B</v>
      </c>
      <c r="K39" s="54" t="str">
        <f aca="false">IF(J39="F","Fail","Pass")</f>
        <v>Pass</v>
      </c>
    </row>
    <row r="40" customFormat="false" ht="15" hidden="false" customHeight="true" outlineLevel="0" collapsed="false">
      <c r="A40" s="42" t="n">
        <v>35</v>
      </c>
      <c r="B40" s="43" t="s">
        <v>355</v>
      </c>
      <c r="C40" s="44" t="n">
        <v>10</v>
      </c>
      <c r="D40" s="44" t="n">
        <v>23</v>
      </c>
      <c r="E40" s="44" t="n">
        <v>76</v>
      </c>
      <c r="F40" s="44" t="n">
        <v>77</v>
      </c>
      <c r="G40" s="44" t="n">
        <v>49</v>
      </c>
      <c r="H40" s="45" t="n">
        <f aca="false">SUM(C40:G40)</f>
        <v>235</v>
      </c>
      <c r="I40" s="46" t="n">
        <f aca="false">ROUNDUP(AVERAGE(C40:G40),0)</f>
        <v>47</v>
      </c>
      <c r="J40" s="47" t="str">
        <f aca="false">IF(I40&gt;=90,"A++",IF(I40&gt;=80,"A+",IF(I40&gt;=70,"A",IF(I40&gt;=60,"B+",IF(I40&gt;=35,"B","F")))))</f>
        <v>B</v>
      </c>
      <c r="K40" s="48" t="str">
        <f aca="false">IF(J40="F","Fail","Pass")</f>
        <v>Pass</v>
      </c>
    </row>
    <row r="41" customFormat="false" ht="15" hidden="false" customHeight="true" outlineLevel="0" collapsed="false">
      <c r="A41" s="49" t="n">
        <v>61</v>
      </c>
      <c r="B41" s="50" t="s">
        <v>356</v>
      </c>
      <c r="C41" s="27" t="n">
        <v>26</v>
      </c>
      <c r="D41" s="27" t="n">
        <v>76</v>
      </c>
      <c r="E41" s="27" t="n">
        <v>49</v>
      </c>
      <c r="F41" s="27" t="n">
        <v>74</v>
      </c>
      <c r="G41" s="27" t="n">
        <v>11</v>
      </c>
      <c r="H41" s="51" t="n">
        <f aca="false">SUM(C41:G41)</f>
        <v>236</v>
      </c>
      <c r="I41" s="52" t="n">
        <f aca="false">ROUNDUP(AVERAGE(C41:G41),0)</f>
        <v>48</v>
      </c>
      <c r="J41" s="53" t="str">
        <f aca="false">IF(I41&gt;=90,"A++",IF(I41&gt;=80,"A+",IF(I41&gt;=70,"A",IF(I41&gt;=60,"B+",IF(I41&gt;=35,"B","F")))))</f>
        <v>B</v>
      </c>
      <c r="K41" s="54" t="str">
        <f aca="false">IF(J41="F","Fail","Pass")</f>
        <v>Pass</v>
      </c>
    </row>
    <row r="42" customFormat="false" ht="15" hidden="false" customHeight="true" outlineLevel="0" collapsed="false">
      <c r="A42" s="42" t="n">
        <v>108</v>
      </c>
      <c r="B42" s="43" t="s">
        <v>357</v>
      </c>
      <c r="C42" s="44" t="n">
        <v>100</v>
      </c>
      <c r="D42" s="44" t="n">
        <v>13</v>
      </c>
      <c r="E42" s="44" t="n">
        <v>24</v>
      </c>
      <c r="F42" s="44" t="n">
        <v>45</v>
      </c>
      <c r="G42" s="44" t="n">
        <v>56</v>
      </c>
      <c r="H42" s="45" t="n">
        <f aca="false">SUM(C42:G42)</f>
        <v>238</v>
      </c>
      <c r="I42" s="46" t="n">
        <f aca="false">ROUNDUP(AVERAGE(C42:G42),0)</f>
        <v>48</v>
      </c>
      <c r="J42" s="47" t="str">
        <f aca="false">IF(I42&gt;=90,"A++",IF(I42&gt;=80,"A+",IF(I42&gt;=70,"A",IF(I42&gt;=60,"B+",IF(I42&gt;=35,"B","F")))))</f>
        <v>B</v>
      </c>
      <c r="K42" s="48" t="str">
        <f aca="false">IF(J42="F","Fail","Pass")</f>
        <v>Pass</v>
      </c>
    </row>
    <row r="43" customFormat="false" ht="15" hidden="false" customHeight="true" outlineLevel="0" collapsed="false">
      <c r="A43" s="49" t="n">
        <v>95</v>
      </c>
      <c r="B43" s="50" t="s">
        <v>358</v>
      </c>
      <c r="C43" s="27" t="n">
        <v>93</v>
      </c>
      <c r="D43" s="27" t="n">
        <v>17</v>
      </c>
      <c r="E43" s="27" t="n">
        <v>95</v>
      </c>
      <c r="F43" s="27" t="n">
        <v>13</v>
      </c>
      <c r="G43" s="27" t="n">
        <v>20</v>
      </c>
      <c r="H43" s="51" t="n">
        <f aca="false">SUM(C43:G43)</f>
        <v>238</v>
      </c>
      <c r="I43" s="52" t="n">
        <f aca="false">ROUNDUP(AVERAGE(C43:G43),0)</f>
        <v>48</v>
      </c>
      <c r="J43" s="53" t="str">
        <f aca="false">IF(I43&gt;=90,"A++",IF(I43&gt;=80,"A+",IF(I43&gt;=70,"A",IF(I43&gt;=60,"B+",IF(I43&gt;=35,"B","F")))))</f>
        <v>B</v>
      </c>
      <c r="K43" s="54" t="str">
        <f aca="false">IF(J43="F","Fail","Pass")</f>
        <v>Pass</v>
      </c>
    </row>
    <row r="44" customFormat="false" ht="15" hidden="false" customHeight="true" outlineLevel="0" collapsed="false">
      <c r="A44" s="42" t="n">
        <v>64</v>
      </c>
      <c r="B44" s="43" t="s">
        <v>359</v>
      </c>
      <c r="C44" s="44" t="n">
        <v>56</v>
      </c>
      <c r="D44" s="44" t="n">
        <v>88</v>
      </c>
      <c r="E44" s="44" t="n">
        <v>47</v>
      </c>
      <c r="F44" s="44" t="n">
        <v>22</v>
      </c>
      <c r="G44" s="44" t="n">
        <v>27</v>
      </c>
      <c r="H44" s="45" t="n">
        <f aca="false">SUM(C44:G44)</f>
        <v>240</v>
      </c>
      <c r="I44" s="46" t="n">
        <f aca="false">ROUNDUP(AVERAGE(C44:G44),0)</f>
        <v>48</v>
      </c>
      <c r="J44" s="47" t="str">
        <f aca="false">IF(I44&gt;=90,"A++",IF(I44&gt;=80,"A+",IF(I44&gt;=70,"A",IF(I44&gt;=60,"B+",IF(I44&gt;=35,"B","F")))))</f>
        <v>B</v>
      </c>
      <c r="K44" s="48" t="str">
        <f aca="false">IF(J44="F","Fail","Pass")</f>
        <v>Pass</v>
      </c>
    </row>
    <row r="45" customFormat="false" ht="15" hidden="false" customHeight="true" outlineLevel="0" collapsed="false">
      <c r="A45" s="49" t="n">
        <v>81</v>
      </c>
      <c r="B45" s="50" t="s">
        <v>360</v>
      </c>
      <c r="C45" s="27" t="n">
        <v>21</v>
      </c>
      <c r="D45" s="27" t="n">
        <v>89</v>
      </c>
      <c r="E45" s="27" t="n">
        <v>52</v>
      </c>
      <c r="F45" s="27" t="n">
        <v>50</v>
      </c>
      <c r="G45" s="27" t="n">
        <v>29</v>
      </c>
      <c r="H45" s="51" t="n">
        <f aca="false">SUM(C45:G45)</f>
        <v>241</v>
      </c>
      <c r="I45" s="52" t="n">
        <f aca="false">ROUNDUP(AVERAGE(C45:G45),0)</f>
        <v>49</v>
      </c>
      <c r="J45" s="53" t="str">
        <f aca="false">IF(I45&gt;=90,"A++",IF(I45&gt;=80,"A+",IF(I45&gt;=70,"A",IF(I45&gt;=60,"B+",IF(I45&gt;=35,"B","F")))))</f>
        <v>B</v>
      </c>
      <c r="K45" s="54" t="str">
        <f aca="false">IF(J45="F","Fail","Pass")</f>
        <v>Pass</v>
      </c>
    </row>
    <row r="46" customFormat="false" ht="15" hidden="false" customHeight="true" outlineLevel="0" collapsed="false">
      <c r="A46" s="42" t="n">
        <v>23</v>
      </c>
      <c r="B46" s="43" t="s">
        <v>361</v>
      </c>
      <c r="C46" s="44" t="n">
        <v>41</v>
      </c>
      <c r="D46" s="44" t="n">
        <v>54</v>
      </c>
      <c r="E46" s="44" t="n">
        <v>22</v>
      </c>
      <c r="F46" s="44" t="n">
        <v>51</v>
      </c>
      <c r="G46" s="44" t="n">
        <v>78</v>
      </c>
      <c r="H46" s="45" t="n">
        <f aca="false">SUM(C46:G46)</f>
        <v>246</v>
      </c>
      <c r="I46" s="46" t="n">
        <f aca="false">ROUNDUP(AVERAGE(C46:G46),0)</f>
        <v>50</v>
      </c>
      <c r="J46" s="47" t="str">
        <f aca="false">IF(I46&gt;=90,"A++",IF(I46&gt;=80,"A+",IF(I46&gt;=70,"A",IF(I46&gt;=60,"B+",IF(I46&gt;=35,"B","F")))))</f>
        <v>B</v>
      </c>
      <c r="K46" s="48" t="str">
        <f aca="false">IF(J46="F","Fail","Pass")</f>
        <v>Pass</v>
      </c>
    </row>
    <row r="47" customFormat="false" ht="15" hidden="false" customHeight="true" outlineLevel="0" collapsed="false">
      <c r="A47" s="49" t="n">
        <v>109</v>
      </c>
      <c r="B47" s="50" t="s">
        <v>362</v>
      </c>
      <c r="C47" s="27" t="n">
        <v>15</v>
      </c>
      <c r="D47" s="27" t="n">
        <v>15</v>
      </c>
      <c r="E47" s="27" t="n">
        <v>76</v>
      </c>
      <c r="F47" s="27" t="n">
        <v>78</v>
      </c>
      <c r="G47" s="27" t="n">
        <v>64</v>
      </c>
      <c r="H47" s="51" t="n">
        <f aca="false">SUM(C47:G47)</f>
        <v>248</v>
      </c>
      <c r="I47" s="52" t="n">
        <f aca="false">ROUNDUP(AVERAGE(C47:G47),0)</f>
        <v>50</v>
      </c>
      <c r="J47" s="53" t="str">
        <f aca="false">IF(I47&gt;=90,"A++",IF(I47&gt;=80,"A+",IF(I47&gt;=70,"A",IF(I47&gt;=60,"B+",IF(I47&gt;=35,"B","F")))))</f>
        <v>B</v>
      </c>
      <c r="K47" s="54" t="str">
        <f aca="false">IF(J47="F","Fail","Pass")</f>
        <v>Pass</v>
      </c>
    </row>
    <row r="48" customFormat="false" ht="15" hidden="false" customHeight="true" outlineLevel="0" collapsed="false">
      <c r="A48" s="42" t="n">
        <v>87</v>
      </c>
      <c r="B48" s="43" t="s">
        <v>363</v>
      </c>
      <c r="C48" s="44" t="n">
        <v>42</v>
      </c>
      <c r="D48" s="44" t="n">
        <v>15</v>
      </c>
      <c r="E48" s="44" t="n">
        <v>67</v>
      </c>
      <c r="F48" s="44" t="n">
        <v>46</v>
      </c>
      <c r="G48" s="44" t="n">
        <v>78</v>
      </c>
      <c r="H48" s="45" t="n">
        <f aca="false">SUM(C48:G48)</f>
        <v>248</v>
      </c>
      <c r="I48" s="46" t="n">
        <f aca="false">ROUNDUP(AVERAGE(C48:G48),0)</f>
        <v>50</v>
      </c>
      <c r="J48" s="47" t="str">
        <f aca="false">IF(I48&gt;=90,"A++",IF(I48&gt;=80,"A+",IF(I48&gt;=70,"A",IF(I48&gt;=60,"B+",IF(I48&gt;=35,"B","F")))))</f>
        <v>B</v>
      </c>
      <c r="K48" s="48" t="str">
        <f aca="false">IF(J48="F","Fail","Pass")</f>
        <v>Pass</v>
      </c>
    </row>
    <row r="49" customFormat="false" ht="15" hidden="false" customHeight="true" outlineLevel="0" collapsed="false">
      <c r="A49" s="49" t="n">
        <v>40</v>
      </c>
      <c r="B49" s="50" t="s">
        <v>364</v>
      </c>
      <c r="C49" s="27" t="n">
        <v>77</v>
      </c>
      <c r="D49" s="27" t="n">
        <v>35</v>
      </c>
      <c r="E49" s="27" t="n">
        <v>34</v>
      </c>
      <c r="F49" s="27" t="n">
        <v>65</v>
      </c>
      <c r="G49" s="27" t="n">
        <v>38</v>
      </c>
      <c r="H49" s="51" t="n">
        <f aca="false">SUM(C49:G49)</f>
        <v>249</v>
      </c>
      <c r="I49" s="52" t="n">
        <f aca="false">ROUNDUP(AVERAGE(C49:G49),0)</f>
        <v>50</v>
      </c>
      <c r="J49" s="53" t="str">
        <f aca="false">IF(I49&gt;=90,"A++",IF(I49&gt;=80,"A+",IF(I49&gt;=70,"A",IF(I49&gt;=60,"B+",IF(I49&gt;=35,"B","F")))))</f>
        <v>B</v>
      </c>
      <c r="K49" s="54" t="str">
        <f aca="false">IF(J49="F","Fail","Pass")</f>
        <v>Pass</v>
      </c>
    </row>
    <row r="50" customFormat="false" ht="15" hidden="false" customHeight="true" outlineLevel="0" collapsed="false">
      <c r="A50" s="42" t="n">
        <v>74</v>
      </c>
      <c r="B50" s="43" t="s">
        <v>365</v>
      </c>
      <c r="C50" s="44" t="n">
        <v>51</v>
      </c>
      <c r="D50" s="44" t="n">
        <v>30</v>
      </c>
      <c r="E50" s="44" t="n">
        <v>78</v>
      </c>
      <c r="F50" s="44" t="n">
        <v>53</v>
      </c>
      <c r="G50" s="44" t="n">
        <v>37</v>
      </c>
      <c r="H50" s="45" t="n">
        <f aca="false">SUM(C50:G50)</f>
        <v>249</v>
      </c>
      <c r="I50" s="46" t="n">
        <f aca="false">ROUNDUP(AVERAGE(C50:G50),0)</f>
        <v>50</v>
      </c>
      <c r="J50" s="47" t="str">
        <f aca="false">IF(I50&gt;=90,"A++",IF(I50&gt;=80,"A+",IF(I50&gt;=70,"A",IF(I50&gt;=60,"B+",IF(I50&gt;=35,"B","F")))))</f>
        <v>B</v>
      </c>
      <c r="K50" s="48" t="str">
        <f aca="false">IF(J50="F","Fail","Pass")</f>
        <v>Pass</v>
      </c>
    </row>
    <row r="51" customFormat="false" ht="15" hidden="false" customHeight="true" outlineLevel="0" collapsed="false">
      <c r="A51" s="49" t="n">
        <v>79</v>
      </c>
      <c r="B51" s="50" t="s">
        <v>366</v>
      </c>
      <c r="C51" s="27" t="n">
        <v>51</v>
      </c>
      <c r="D51" s="27" t="n">
        <v>80</v>
      </c>
      <c r="E51" s="27" t="n">
        <v>30</v>
      </c>
      <c r="F51" s="27" t="n">
        <v>14</v>
      </c>
      <c r="G51" s="27" t="n">
        <v>77</v>
      </c>
      <c r="H51" s="51" t="n">
        <f aca="false">SUM(C51:G51)</f>
        <v>252</v>
      </c>
      <c r="I51" s="52" t="n">
        <f aca="false">ROUNDUP(AVERAGE(C51:G51),0)</f>
        <v>51</v>
      </c>
      <c r="J51" s="53" t="str">
        <f aca="false">IF(I51&gt;=90,"A++",IF(I51&gt;=80,"A+",IF(I51&gt;=70,"A",IF(I51&gt;=60,"B+",IF(I51&gt;=35,"B","F")))))</f>
        <v>B</v>
      </c>
      <c r="K51" s="54" t="str">
        <f aca="false">IF(J51="F","Fail","Pass")</f>
        <v>Pass</v>
      </c>
    </row>
    <row r="52" customFormat="false" ht="15" hidden="false" customHeight="true" outlineLevel="0" collapsed="false">
      <c r="A52" s="42" t="n">
        <v>33</v>
      </c>
      <c r="B52" s="43" t="s">
        <v>367</v>
      </c>
      <c r="C52" s="44" t="n">
        <v>12</v>
      </c>
      <c r="D52" s="44" t="n">
        <v>58</v>
      </c>
      <c r="E52" s="44" t="n">
        <v>92</v>
      </c>
      <c r="F52" s="44" t="n">
        <v>77</v>
      </c>
      <c r="G52" s="44" t="n">
        <v>15</v>
      </c>
      <c r="H52" s="45" t="n">
        <f aca="false">SUM(C52:G52)</f>
        <v>254</v>
      </c>
      <c r="I52" s="46" t="n">
        <f aca="false">ROUNDUP(AVERAGE(C52:G52),0)</f>
        <v>51</v>
      </c>
      <c r="J52" s="47" t="str">
        <f aca="false">IF(I52&gt;=90,"A++",IF(I52&gt;=80,"A+",IF(I52&gt;=70,"A",IF(I52&gt;=60,"B+",IF(I52&gt;=35,"B","F")))))</f>
        <v>B</v>
      </c>
      <c r="K52" s="48" t="str">
        <f aca="false">IF(J52="F","Fail","Pass")</f>
        <v>Pass</v>
      </c>
    </row>
    <row r="53" customFormat="false" ht="15" hidden="false" customHeight="true" outlineLevel="0" collapsed="false">
      <c r="A53" s="49" t="n">
        <v>111</v>
      </c>
      <c r="B53" s="50" t="s">
        <v>368</v>
      </c>
      <c r="C53" s="27" t="n">
        <v>92</v>
      </c>
      <c r="D53" s="27" t="n">
        <v>40</v>
      </c>
      <c r="E53" s="27" t="n">
        <v>15</v>
      </c>
      <c r="F53" s="27" t="n">
        <v>66</v>
      </c>
      <c r="G53" s="27" t="n">
        <v>42</v>
      </c>
      <c r="H53" s="51" t="n">
        <f aca="false">SUM(C53:G53)</f>
        <v>255</v>
      </c>
      <c r="I53" s="52" t="n">
        <f aca="false">ROUNDUP(AVERAGE(C53:G53),0)</f>
        <v>51</v>
      </c>
      <c r="J53" s="53" t="str">
        <f aca="false">IF(I53&gt;=90,"A++",IF(I53&gt;=80,"A+",IF(I53&gt;=70,"A",IF(I53&gt;=60,"B+",IF(I53&gt;=35,"B","F")))))</f>
        <v>B</v>
      </c>
      <c r="K53" s="54" t="str">
        <f aca="false">IF(J53="F","Fail","Pass")</f>
        <v>Pass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3"/>
    <col collapsed="false" customWidth="true" hidden="false" outlineLevel="0" max="7" min="7" style="1" width="12"/>
    <col collapsed="false" customWidth="true" hidden="false" outlineLevel="0" max="8" min="8" style="1" width="16"/>
  </cols>
  <sheetData>
    <row r="1" customFormat="false" ht="27.75" hidden="false" customHeight="true" outlineLevel="0" collapsed="false">
      <c r="A1" s="55" t="s">
        <v>369</v>
      </c>
      <c r="B1" s="55"/>
      <c r="C1" s="55"/>
      <c r="D1" s="55"/>
      <c r="E1" s="55"/>
      <c r="F1" s="55"/>
    </row>
    <row r="2" customFormat="false" ht="15" hidden="false" customHeight="true" outlineLevel="0" collapsed="false">
      <c r="A2" s="56" t="s">
        <v>370</v>
      </c>
      <c r="B2" s="56"/>
      <c r="C2" s="56"/>
      <c r="D2" s="56"/>
      <c r="E2" s="56"/>
      <c r="F2" s="56"/>
    </row>
    <row r="3" customFormat="false" ht="18" hidden="false" customHeight="true" outlineLevel="0" collapsed="false">
      <c r="A3" s="17" t="s">
        <v>371</v>
      </c>
      <c r="B3" s="17" t="s">
        <v>372</v>
      </c>
      <c r="C3" s="17" t="s">
        <v>373</v>
      </c>
      <c r="D3" s="17" t="s">
        <v>374</v>
      </c>
      <c r="E3" s="17" t="s">
        <v>375</v>
      </c>
      <c r="G3" s="16" t="s">
        <v>376</v>
      </c>
      <c r="H3" s="16"/>
    </row>
    <row r="4" customFormat="false" ht="18" hidden="false" customHeight="true" outlineLevel="0" collapsed="false">
      <c r="A4" s="57" t="s">
        <v>377</v>
      </c>
      <c r="B4" s="58" t="n">
        <v>900</v>
      </c>
      <c r="C4" s="59" t="n">
        <v>15</v>
      </c>
      <c r="D4" s="60" t="n">
        <f aca="false">B4*C4</f>
        <v>13500</v>
      </c>
      <c r="E4" s="61" t="n">
        <f aca="false">D4/SUM($D$4:$D$8)</f>
        <v>0.612244897959184</v>
      </c>
      <c r="G4" s="62" t="s">
        <v>377</v>
      </c>
      <c r="H4" s="63" t="n">
        <f aca="false">VLOOKUP(G4,$A$4:$C$8,2,FALSE())</f>
        <v>900</v>
      </c>
    </row>
    <row r="5" customFormat="false" ht="18" hidden="false" customHeight="true" outlineLevel="0" collapsed="false">
      <c r="A5" s="64" t="s">
        <v>378</v>
      </c>
      <c r="B5" s="65" t="n">
        <v>20</v>
      </c>
      <c r="C5" s="66" t="n">
        <v>50</v>
      </c>
      <c r="D5" s="67" t="n">
        <f aca="false">B5*C5</f>
        <v>1000</v>
      </c>
      <c r="E5" s="68" t="n">
        <f aca="false">D5/SUM($D$4:$D$8)</f>
        <v>0.0453514739229025</v>
      </c>
      <c r="G5" s="62" t="s">
        <v>378</v>
      </c>
      <c r="H5" s="63" t="n">
        <f aca="false">VLOOKUP(G5,$A$4:$C$8,2,FALSE())</f>
        <v>20</v>
      </c>
    </row>
    <row r="6" customFormat="false" ht="18" hidden="false" customHeight="true" outlineLevel="0" collapsed="false">
      <c r="A6" s="57" t="s">
        <v>379</v>
      </c>
      <c r="B6" s="58" t="n">
        <v>35</v>
      </c>
      <c r="C6" s="59" t="n">
        <v>30</v>
      </c>
      <c r="D6" s="60" t="n">
        <f aca="false">B6*C6</f>
        <v>1050</v>
      </c>
      <c r="E6" s="61" t="n">
        <f aca="false">D6/SUM($D$4:$D$8)</f>
        <v>0.0476190476190476</v>
      </c>
      <c r="G6" s="62" t="s">
        <v>379</v>
      </c>
      <c r="H6" s="63" t="n">
        <f aca="false">VLOOKUP(G6,$A$4:$C$8,2,FALSE())</f>
        <v>35</v>
      </c>
    </row>
    <row r="7" customFormat="false" ht="18" hidden="false" customHeight="true" outlineLevel="0" collapsed="false">
      <c r="A7" s="64" t="s">
        <v>380</v>
      </c>
      <c r="B7" s="65" t="n">
        <v>200</v>
      </c>
      <c r="C7" s="66" t="n">
        <v>25</v>
      </c>
      <c r="D7" s="67" t="n">
        <f aca="false">B7*C7</f>
        <v>5000</v>
      </c>
      <c r="E7" s="68" t="n">
        <f aca="false">D7/SUM($D$4:$D$8)</f>
        <v>0.226757369614512</v>
      </c>
    </row>
    <row r="8" customFormat="false" ht="18" hidden="false" customHeight="true" outlineLevel="0" collapsed="false">
      <c r="A8" s="57" t="s">
        <v>381</v>
      </c>
      <c r="B8" s="58" t="n">
        <v>150</v>
      </c>
      <c r="C8" s="59" t="n">
        <v>10</v>
      </c>
      <c r="D8" s="60" t="n">
        <f aca="false">B8*C8</f>
        <v>1500</v>
      </c>
      <c r="E8" s="61" t="n">
        <f aca="false">D8/SUM($D$4:$D$8)</f>
        <v>0.0680272108843538</v>
      </c>
    </row>
    <row r="9" customFormat="false" ht="18" hidden="false" customHeight="true" outlineLevel="0" collapsed="false">
      <c r="A9" s="69" t="s">
        <v>315</v>
      </c>
      <c r="B9" s="69"/>
      <c r="C9" s="69"/>
      <c r="D9" s="70" t="n">
        <f aca="false">SUM(D4:D8)</f>
        <v>22050</v>
      </c>
      <c r="E9" s="71" t="n">
        <f aca="false">SUM(E4:E8)</f>
        <v>1</v>
      </c>
    </row>
  </sheetData>
  <mergeCells count="3">
    <mergeCell ref="A1:F1"/>
    <mergeCell ref="A2:F2"/>
    <mergeCell ref="G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4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6" min="5" style="1" width="18"/>
  </cols>
  <sheetData>
    <row r="1" customFormat="false" ht="27.75" hidden="false" customHeight="true" outlineLevel="0" collapsed="false">
      <c r="A1" s="72" t="s">
        <v>382</v>
      </c>
    </row>
    <row r="2" customFormat="false" ht="15" hidden="false" customHeight="true" outlineLevel="0" collapsed="false">
      <c r="A2" s="73" t="s">
        <v>383</v>
      </c>
    </row>
    <row r="3" customFormat="false" ht="18" hidden="false" customHeight="true" outlineLevel="0" collapsed="false">
      <c r="A3" s="41" t="s">
        <v>384</v>
      </c>
      <c r="B3" s="41" t="s">
        <v>385</v>
      </c>
      <c r="C3" s="41" t="s">
        <v>386</v>
      </c>
      <c r="D3" s="41" t="s">
        <v>387</v>
      </c>
      <c r="E3" s="41" t="s">
        <v>388</v>
      </c>
      <c r="F3" s="41" t="s">
        <v>389</v>
      </c>
    </row>
    <row r="4" customFormat="false" ht="18" hidden="false" customHeight="true" outlineLevel="0" collapsed="false">
      <c r="A4" s="74" t="s">
        <v>390</v>
      </c>
      <c r="B4" s="75"/>
      <c r="C4" s="75" t="s">
        <v>391</v>
      </c>
      <c r="D4" s="76" t="n">
        <v>250</v>
      </c>
      <c r="E4" s="75" t="s">
        <v>392</v>
      </c>
      <c r="F4" s="77"/>
    </row>
    <row r="5" customFormat="false" ht="18" hidden="false" customHeight="true" outlineLevel="0" collapsed="false">
      <c r="A5" s="78" t="s">
        <v>393</v>
      </c>
      <c r="B5" s="79"/>
      <c r="C5" s="79" t="s">
        <v>394</v>
      </c>
      <c r="D5" s="65" t="n">
        <v>100</v>
      </c>
      <c r="E5" s="79" t="s">
        <v>395</v>
      </c>
      <c r="F5" s="49"/>
    </row>
    <row r="6" customFormat="false" ht="18" hidden="false" customHeight="true" outlineLevel="0" collapsed="false">
      <c r="A6" s="80" t="s">
        <v>390</v>
      </c>
      <c r="B6" s="81"/>
      <c r="C6" s="81" t="s">
        <v>396</v>
      </c>
      <c r="D6" s="82" t="n">
        <v>250</v>
      </c>
      <c r="E6" s="81" t="s">
        <v>397</v>
      </c>
      <c r="F6" s="83" t="s">
        <v>398</v>
      </c>
    </row>
    <row r="7" customFormat="false" ht="18" hidden="false" customHeight="true" outlineLevel="0" collapsed="false">
      <c r="A7" s="78" t="s">
        <v>399</v>
      </c>
      <c r="B7" s="79" t="s">
        <v>400</v>
      </c>
      <c r="C7" s="79" t="s">
        <v>401</v>
      </c>
      <c r="D7" s="65" t="n">
        <v>300</v>
      </c>
      <c r="E7" s="79" t="s">
        <v>402</v>
      </c>
      <c r="F7" s="49"/>
    </row>
    <row r="8" customFormat="false" ht="18" hidden="false" customHeight="true" outlineLevel="0" collapsed="false">
      <c r="A8" s="80" t="s">
        <v>403</v>
      </c>
      <c r="B8" s="81" t="s">
        <v>404</v>
      </c>
      <c r="C8" s="80" t="s">
        <v>405</v>
      </c>
      <c r="D8" s="82" t="n">
        <v>150</v>
      </c>
      <c r="E8" s="81" t="s">
        <v>406</v>
      </c>
      <c r="F8" s="83" t="s">
        <v>407</v>
      </c>
    </row>
    <row r="9" customFormat="false" ht="18" hidden="false" customHeight="true" outlineLevel="0" collapsed="false">
      <c r="A9" s="80" t="s">
        <v>408</v>
      </c>
      <c r="B9" s="81" t="s">
        <v>409</v>
      </c>
      <c r="C9" s="81" t="s">
        <v>410</v>
      </c>
      <c r="D9" s="81"/>
      <c r="E9" s="81" t="s">
        <v>411</v>
      </c>
      <c r="F9" s="83" t="s">
        <v>412</v>
      </c>
    </row>
    <row r="11" customFormat="false" ht="9.75" hidden="false" customHeight="true" outlineLevel="0" collapsed="false"/>
    <row r="12" customFormat="false" ht="15.75" hidden="false" customHeight="true" outlineLevel="0" collapsed="false">
      <c r="A12" s="84" t="s">
        <v>413</v>
      </c>
      <c r="B12" s="85" t="s">
        <v>414</v>
      </c>
      <c r="C12" s="85"/>
      <c r="D12" s="85"/>
      <c r="E12" s="85"/>
      <c r="F12" s="85"/>
    </row>
    <row r="13" customFormat="false" ht="15.75" hidden="false" customHeight="true" outlineLevel="0" collapsed="false">
      <c r="A13" s="84" t="s">
        <v>415</v>
      </c>
      <c r="B13" s="85" t="s">
        <v>416</v>
      </c>
      <c r="C13" s="85"/>
      <c r="D13" s="85"/>
      <c r="E13" s="85"/>
      <c r="F13" s="85"/>
    </row>
    <row r="14" customFormat="false" ht="15.75" hidden="false" customHeight="true" outlineLevel="0" collapsed="false">
      <c r="A14" s="84" t="s">
        <v>417</v>
      </c>
      <c r="B14" s="85" t="s">
        <v>418</v>
      </c>
      <c r="C14" s="85"/>
      <c r="D14" s="85"/>
      <c r="E14" s="85"/>
      <c r="F14" s="85"/>
    </row>
    <row r="15" customFormat="false" ht="15.75" hidden="false" customHeight="true" outlineLevel="0" collapsed="false">
      <c r="A15" s="84" t="s">
        <v>419</v>
      </c>
      <c r="B15" s="85" t="s">
        <v>420</v>
      </c>
      <c r="C15" s="85"/>
      <c r="D15" s="85"/>
      <c r="E15" s="85"/>
      <c r="F15" s="85"/>
    </row>
    <row r="16" customFormat="false" ht="15.75" hidden="false" customHeight="true" outlineLevel="0" collapsed="false">
      <c r="A16" s="84" t="s">
        <v>421</v>
      </c>
      <c r="B16" s="85" t="s">
        <v>422</v>
      </c>
      <c r="C16" s="85"/>
      <c r="D16" s="85"/>
      <c r="E16" s="85"/>
      <c r="F16" s="8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3"/>
    <col collapsed="false" customWidth="true" hidden="false" outlineLevel="0" max="5" min="5" style="1" width="14"/>
    <col collapsed="false" customWidth="true" hidden="false" outlineLevel="0" max="6" min="6" style="1" width="40"/>
    <col collapsed="false" customWidth="true" hidden="false" outlineLevel="0" max="7" min="7" style="1" width="14"/>
  </cols>
  <sheetData>
    <row r="1" customFormat="false" ht="27.75" hidden="false" customHeight="true" outlineLevel="0" collapsed="false">
      <c r="A1" s="86" t="s">
        <v>423</v>
      </c>
      <c r="B1" s="86"/>
      <c r="C1" s="86"/>
      <c r="D1" s="86"/>
      <c r="E1" s="86"/>
      <c r="F1" s="86"/>
      <c r="G1" s="86"/>
    </row>
    <row r="2" customFormat="false" ht="15" hidden="false" customHeight="true" outlineLevel="0" collapsed="false">
      <c r="A2" s="87" t="s">
        <v>424</v>
      </c>
      <c r="B2" s="87"/>
      <c r="C2" s="87"/>
      <c r="D2" s="87"/>
      <c r="E2" s="87"/>
      <c r="F2" s="87"/>
      <c r="G2" s="87"/>
    </row>
    <row r="3" customFormat="false" ht="19.5" hidden="false" customHeight="true" outlineLevel="0" collapsed="false">
      <c r="A3" s="88" t="s">
        <v>425</v>
      </c>
      <c r="B3" s="88" t="s">
        <v>371</v>
      </c>
      <c r="C3" s="88" t="s">
        <v>372</v>
      </c>
      <c r="E3" s="18" t="s">
        <v>426</v>
      </c>
      <c r="F3" s="18" t="s">
        <v>427</v>
      </c>
      <c r="G3" s="18" t="s">
        <v>318</v>
      </c>
    </row>
    <row r="4" customFormat="false" ht="18" hidden="false" customHeight="true" outlineLevel="0" collapsed="false">
      <c r="A4" s="89" t="s">
        <v>428</v>
      </c>
      <c r="B4" s="90" t="s">
        <v>429</v>
      </c>
      <c r="C4" s="91" t="n">
        <v>1</v>
      </c>
      <c r="E4" s="90" t="s">
        <v>430</v>
      </c>
      <c r="F4" s="92" t="n">
        <f aca="false">VLOOKUP(E4,$B$4:$C$8,2,FALSE())</f>
        <v>1.25</v>
      </c>
      <c r="G4" s="91" t="n">
        <f aca="false">VLOOKUP(E4,$B$4:$C$8,2,FALSE())</f>
        <v>1.25</v>
      </c>
    </row>
    <row r="5" customFormat="false" ht="18" hidden="false" customHeight="true" outlineLevel="0" collapsed="false">
      <c r="A5" s="66" t="s">
        <v>428</v>
      </c>
      <c r="B5" s="78" t="s">
        <v>431</v>
      </c>
      <c r="C5" s="65" t="n">
        <v>0.75</v>
      </c>
      <c r="E5" s="78" t="s">
        <v>429</v>
      </c>
      <c r="F5" s="93" t="n">
        <f aca="false">VLOOKUP(E5,$B$4:$C$8,2,FALSE())</f>
        <v>1</v>
      </c>
      <c r="G5" s="65" t="n">
        <f aca="false">VLOOKUP(E5,$B$4:$C$8,2,FALSE())</f>
        <v>1</v>
      </c>
    </row>
    <row r="6" customFormat="false" ht="18" hidden="false" customHeight="true" outlineLevel="0" collapsed="false">
      <c r="A6" s="89" t="s">
        <v>428</v>
      </c>
      <c r="B6" s="90" t="s">
        <v>430</v>
      </c>
      <c r="C6" s="91" t="n">
        <v>1.25</v>
      </c>
      <c r="E6" s="90" t="s">
        <v>432</v>
      </c>
      <c r="F6" s="92" t="n">
        <f aca="false">VLOOKUP(E6,$B$4:$C$8,2,FALSE())</f>
        <v>2</v>
      </c>
      <c r="G6" s="91" t="n">
        <f aca="false">VLOOKUP(E6,$B$4:$C$8,2,FALSE())</f>
        <v>2</v>
      </c>
    </row>
    <row r="7" customFormat="false" ht="18" hidden="false" customHeight="true" outlineLevel="0" collapsed="false">
      <c r="A7" s="66" t="s">
        <v>428</v>
      </c>
      <c r="B7" s="78" t="s">
        <v>432</v>
      </c>
      <c r="C7" s="65" t="n">
        <v>2</v>
      </c>
      <c r="E7" s="78" t="s">
        <v>433</v>
      </c>
      <c r="F7" s="93" t="str">
        <f aca="false">IFERROR(VLOOKUP(E7,$B$4:$C$8,2,FALSE()),"Not Found")</f>
        <v>Not Found</v>
      </c>
      <c r="G7" s="65" t="str">
        <f aca="false">IFERROR(VLOOKUP(E7,$B$4:$C$8,2,FALSE()),"Not Found")</f>
        <v>Not Found</v>
      </c>
    </row>
    <row r="8" customFormat="false" ht="18" hidden="false" customHeight="true" outlineLevel="0" collapsed="false">
      <c r="A8" s="89" t="s">
        <v>428</v>
      </c>
      <c r="B8" s="90" t="s">
        <v>434</v>
      </c>
      <c r="C8" s="91" t="n">
        <v>2.5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3" min="3" style="1" width="7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8"/>
  </cols>
  <sheetData>
    <row r="1" customFormat="false" ht="27.75" hidden="false" customHeight="true" outlineLevel="0" collapsed="false">
      <c r="A1" s="94" t="s">
        <v>435</v>
      </c>
      <c r="B1" s="94"/>
      <c r="C1" s="94"/>
      <c r="D1" s="94"/>
      <c r="E1" s="94"/>
      <c r="F1" s="94"/>
      <c r="G1" s="94"/>
      <c r="H1" s="94"/>
      <c r="I1" s="94"/>
    </row>
    <row r="2" customFormat="false" ht="15" hidden="false" customHeight="true" outlineLevel="0" collapsed="false">
      <c r="A2" s="95" t="s">
        <v>436</v>
      </c>
      <c r="B2" s="95"/>
      <c r="C2" s="95"/>
      <c r="D2" s="95"/>
      <c r="E2" s="95"/>
      <c r="F2" s="95"/>
      <c r="G2" s="95"/>
      <c r="H2" s="95"/>
      <c r="I2" s="95"/>
    </row>
    <row r="3" customFormat="false" ht="19.5" hidden="false" customHeight="true" outlineLevel="0" collapsed="false">
      <c r="A3" s="16" t="s">
        <v>64</v>
      </c>
      <c r="B3" s="16" t="s">
        <v>65</v>
      </c>
      <c r="C3" s="16" t="s">
        <v>66</v>
      </c>
      <c r="D3" s="16" t="s">
        <v>67</v>
      </c>
      <c r="E3" s="16" t="s">
        <v>68</v>
      </c>
      <c r="F3" s="16" t="s">
        <v>69</v>
      </c>
      <c r="G3" s="16" t="s">
        <v>70</v>
      </c>
      <c r="H3" s="16" t="s">
        <v>71</v>
      </c>
      <c r="I3" s="16" t="s">
        <v>72</v>
      </c>
    </row>
    <row r="4" customFormat="false" ht="15" hidden="false" customHeight="true" outlineLevel="0" collapsed="false">
      <c r="A4" s="96" t="s">
        <v>123</v>
      </c>
      <c r="B4" s="97" t="s">
        <v>81</v>
      </c>
      <c r="C4" s="98" t="n">
        <v>24</v>
      </c>
      <c r="D4" s="97" t="s">
        <v>113</v>
      </c>
      <c r="E4" s="97" t="n">
        <v>4</v>
      </c>
      <c r="F4" s="99" t="n">
        <v>143.36</v>
      </c>
      <c r="G4" s="97" t="s">
        <v>87</v>
      </c>
      <c r="H4" s="100" t="n">
        <v>44992</v>
      </c>
      <c r="I4" s="97" t="s">
        <v>115</v>
      </c>
    </row>
    <row r="5" customFormat="false" ht="15" hidden="false" customHeight="true" outlineLevel="0" collapsed="false">
      <c r="A5" s="101" t="s">
        <v>156</v>
      </c>
      <c r="B5" s="10" t="s">
        <v>75</v>
      </c>
      <c r="C5" s="28" t="n">
        <v>41</v>
      </c>
      <c r="D5" s="10" t="s">
        <v>94</v>
      </c>
      <c r="E5" s="10" t="n">
        <v>3</v>
      </c>
      <c r="F5" s="29" t="n">
        <v>45.45</v>
      </c>
      <c r="G5" s="10" t="s">
        <v>87</v>
      </c>
      <c r="H5" s="30" t="n">
        <v>44981</v>
      </c>
      <c r="I5" s="10" t="s">
        <v>100</v>
      </c>
    </row>
    <row r="6" customFormat="false" ht="15" hidden="false" customHeight="true" outlineLevel="0" collapsed="false">
      <c r="A6" s="96" t="s">
        <v>292</v>
      </c>
      <c r="B6" s="97" t="s">
        <v>75</v>
      </c>
      <c r="C6" s="98" t="n">
        <v>31</v>
      </c>
      <c r="D6" s="97" t="s">
        <v>99</v>
      </c>
      <c r="E6" s="97" t="n">
        <v>4</v>
      </c>
      <c r="F6" s="99" t="n">
        <v>162.64</v>
      </c>
      <c r="G6" s="97" t="s">
        <v>87</v>
      </c>
      <c r="H6" s="100" t="n">
        <v>44970</v>
      </c>
      <c r="I6" s="97" t="s">
        <v>91</v>
      </c>
    </row>
    <row r="7" customFormat="false" ht="15" hidden="false" customHeight="true" outlineLevel="0" collapsed="false">
      <c r="A7" s="101" t="s">
        <v>269</v>
      </c>
      <c r="B7" s="10" t="s">
        <v>81</v>
      </c>
      <c r="C7" s="28" t="n">
        <v>37</v>
      </c>
      <c r="D7" s="10" t="s">
        <v>76</v>
      </c>
      <c r="E7" s="10" t="n">
        <v>5</v>
      </c>
      <c r="F7" s="29" t="n">
        <v>1500.4</v>
      </c>
      <c r="G7" s="10" t="s">
        <v>87</v>
      </c>
      <c r="H7" s="30" t="n">
        <v>44966</v>
      </c>
      <c r="I7" s="10" t="s">
        <v>111</v>
      </c>
    </row>
    <row r="8" customFormat="false" ht="15" hidden="false" customHeight="true" outlineLevel="0" collapsed="false">
      <c r="A8" s="96" t="s">
        <v>180</v>
      </c>
      <c r="B8" s="97" t="s">
        <v>81</v>
      </c>
      <c r="C8" s="98" t="n">
        <v>67</v>
      </c>
      <c r="D8" s="97" t="s">
        <v>113</v>
      </c>
      <c r="E8" s="97" t="n">
        <v>3</v>
      </c>
      <c r="F8" s="99" t="n">
        <v>107.52</v>
      </c>
      <c r="G8" s="97" t="s">
        <v>87</v>
      </c>
      <c r="H8" s="100" t="n">
        <v>44933</v>
      </c>
      <c r="I8" s="97" t="s">
        <v>111</v>
      </c>
    </row>
    <row r="9" customFormat="false" ht="15" hidden="false" customHeight="true" outlineLevel="0" collapsed="false">
      <c r="A9" s="101" t="s">
        <v>108</v>
      </c>
      <c r="B9" s="10" t="s">
        <v>75</v>
      </c>
      <c r="C9" s="28" t="n">
        <v>36</v>
      </c>
      <c r="D9" s="10" t="s">
        <v>109</v>
      </c>
      <c r="E9" s="10" t="n">
        <v>2</v>
      </c>
      <c r="F9" s="29" t="n">
        <v>10.46</v>
      </c>
      <c r="G9" s="10" t="s">
        <v>87</v>
      </c>
      <c r="H9" s="30" t="n">
        <v>44920</v>
      </c>
      <c r="I9" s="10" t="s">
        <v>88</v>
      </c>
    </row>
    <row r="10" customFormat="false" ht="15" hidden="false" customHeight="true" outlineLevel="0" collapsed="false">
      <c r="A10" s="96" t="s">
        <v>144</v>
      </c>
      <c r="B10" s="97" t="s">
        <v>81</v>
      </c>
      <c r="C10" s="98" t="n">
        <v>24</v>
      </c>
      <c r="D10" s="97" t="s">
        <v>76</v>
      </c>
      <c r="E10" s="97" t="n">
        <v>1</v>
      </c>
      <c r="F10" s="99" t="n">
        <v>300.08</v>
      </c>
      <c r="G10" s="97" t="s">
        <v>87</v>
      </c>
      <c r="H10" s="100" t="n">
        <v>44914</v>
      </c>
      <c r="I10" s="97" t="s">
        <v>91</v>
      </c>
    </row>
    <row r="11" customFormat="false" ht="15" hidden="false" customHeight="true" outlineLevel="0" collapsed="false">
      <c r="A11" s="101" t="s">
        <v>247</v>
      </c>
      <c r="B11" s="10" t="s">
        <v>75</v>
      </c>
      <c r="C11" s="28" t="n">
        <v>22</v>
      </c>
      <c r="D11" s="10" t="s">
        <v>113</v>
      </c>
      <c r="E11" s="10" t="n">
        <v>1</v>
      </c>
      <c r="F11" s="29" t="n">
        <v>35.84</v>
      </c>
      <c r="G11" s="10" t="s">
        <v>87</v>
      </c>
      <c r="H11" s="30" t="n">
        <v>44913</v>
      </c>
      <c r="I11" s="10" t="s">
        <v>103</v>
      </c>
    </row>
    <row r="12" customFormat="false" ht="15" hidden="false" customHeight="true" outlineLevel="0" collapsed="false">
      <c r="A12" s="96" t="s">
        <v>129</v>
      </c>
      <c r="B12" s="97" t="s">
        <v>75</v>
      </c>
      <c r="C12" s="98" t="n">
        <v>42</v>
      </c>
      <c r="D12" s="97" t="s">
        <v>94</v>
      </c>
      <c r="E12" s="97" t="n">
        <v>5</v>
      </c>
      <c r="F12" s="99" t="n">
        <v>75.75</v>
      </c>
      <c r="G12" s="97" t="s">
        <v>87</v>
      </c>
      <c r="H12" s="100" t="n">
        <v>44911</v>
      </c>
      <c r="I12" s="97" t="s">
        <v>88</v>
      </c>
    </row>
    <row r="13" customFormat="false" ht="15" hidden="false" customHeight="true" outlineLevel="0" collapsed="false">
      <c r="A13" s="101" t="s">
        <v>284</v>
      </c>
      <c r="B13" s="10" t="s">
        <v>75</v>
      </c>
      <c r="C13" s="28" t="n">
        <v>56</v>
      </c>
      <c r="D13" s="10" t="s">
        <v>99</v>
      </c>
      <c r="E13" s="10" t="n">
        <v>4</v>
      </c>
      <c r="F13" s="29" t="n">
        <v>162.64</v>
      </c>
      <c r="G13" s="10" t="s">
        <v>87</v>
      </c>
      <c r="H13" s="30" t="n">
        <v>44886</v>
      </c>
      <c r="I13" s="10" t="s">
        <v>103</v>
      </c>
    </row>
    <row r="14" customFormat="false" ht="15" hidden="false" customHeight="true" outlineLevel="0" collapsed="false">
      <c r="A14" s="96" t="s">
        <v>114</v>
      </c>
      <c r="B14" s="97" t="s">
        <v>81</v>
      </c>
      <c r="C14" s="98" t="n">
        <v>25</v>
      </c>
      <c r="D14" s="97" t="s">
        <v>76</v>
      </c>
      <c r="E14" s="97" t="n">
        <v>2</v>
      </c>
      <c r="F14" s="99" t="n">
        <v>600.16</v>
      </c>
      <c r="G14" s="97" t="s">
        <v>87</v>
      </c>
      <c r="H14" s="100" t="n">
        <v>44882</v>
      </c>
      <c r="I14" s="97" t="s">
        <v>115</v>
      </c>
    </row>
    <row r="15" customFormat="false" ht="15" hidden="false" customHeight="true" outlineLevel="0" collapsed="false">
      <c r="A15" s="101" t="s">
        <v>305</v>
      </c>
      <c r="B15" s="10" t="s">
        <v>81</v>
      </c>
      <c r="C15" s="28" t="n">
        <v>33</v>
      </c>
      <c r="D15" s="10" t="s">
        <v>99</v>
      </c>
      <c r="E15" s="10" t="n">
        <v>5</v>
      </c>
      <c r="F15" s="29" t="n">
        <v>203.3</v>
      </c>
      <c r="G15" s="10" t="s">
        <v>87</v>
      </c>
      <c r="H15" s="30" t="n">
        <v>44878</v>
      </c>
      <c r="I15" s="10" t="s">
        <v>78</v>
      </c>
    </row>
    <row r="16" customFormat="false" ht="15" hidden="false" customHeight="true" outlineLevel="0" collapsed="false">
      <c r="A16" s="96" t="s">
        <v>186</v>
      </c>
      <c r="B16" s="97" t="s">
        <v>81</v>
      </c>
      <c r="C16" s="98" t="n">
        <v>40</v>
      </c>
      <c r="D16" s="97" t="s">
        <v>113</v>
      </c>
      <c r="E16" s="97" t="n">
        <v>2</v>
      </c>
      <c r="F16" s="99" t="n">
        <v>71.68</v>
      </c>
      <c r="G16" s="97" t="s">
        <v>87</v>
      </c>
      <c r="H16" s="100" t="n">
        <v>44866</v>
      </c>
      <c r="I16" s="97" t="s">
        <v>111</v>
      </c>
    </row>
    <row r="17" customFormat="false" ht="15" hidden="false" customHeight="true" outlineLevel="0" collapsed="false">
      <c r="A17" s="101" t="s">
        <v>213</v>
      </c>
      <c r="B17" s="10" t="s">
        <v>75</v>
      </c>
      <c r="C17" s="28" t="n">
        <v>64</v>
      </c>
      <c r="D17" s="10" t="s">
        <v>76</v>
      </c>
      <c r="E17" s="10" t="n">
        <v>5</v>
      </c>
      <c r="F17" s="29" t="n">
        <v>1500.4</v>
      </c>
      <c r="G17" s="10" t="s">
        <v>87</v>
      </c>
      <c r="H17" s="30" t="n">
        <v>44860</v>
      </c>
      <c r="I17" s="10" t="s">
        <v>115</v>
      </c>
    </row>
    <row r="18" customFormat="false" ht="15" hidden="false" customHeight="true" outlineLevel="0" collapsed="false">
      <c r="A18" s="96" t="s">
        <v>220</v>
      </c>
      <c r="B18" s="97" t="s">
        <v>75</v>
      </c>
      <c r="C18" s="98" t="n">
        <v>56</v>
      </c>
      <c r="D18" s="97" t="s">
        <v>173</v>
      </c>
      <c r="E18" s="97" t="n">
        <v>5</v>
      </c>
      <c r="F18" s="99" t="n">
        <v>58.65</v>
      </c>
      <c r="G18" s="97" t="s">
        <v>87</v>
      </c>
      <c r="H18" s="100" t="n">
        <v>44853</v>
      </c>
      <c r="I18" s="97" t="s">
        <v>100</v>
      </c>
    </row>
    <row r="19" customFormat="false" ht="15" hidden="false" customHeight="true" outlineLevel="0" collapsed="false">
      <c r="A19" s="101" t="s">
        <v>170</v>
      </c>
      <c r="B19" s="10" t="s">
        <v>81</v>
      </c>
      <c r="C19" s="28" t="n">
        <v>22</v>
      </c>
      <c r="D19" s="10" t="s">
        <v>113</v>
      </c>
      <c r="E19" s="10" t="n">
        <v>3</v>
      </c>
      <c r="F19" s="29" t="n">
        <v>107.52</v>
      </c>
      <c r="G19" s="10" t="s">
        <v>87</v>
      </c>
      <c r="H19" s="30" t="n">
        <v>44851</v>
      </c>
      <c r="I19" s="10" t="s">
        <v>103</v>
      </c>
    </row>
    <row r="20" customFormat="false" ht="15" hidden="false" customHeight="true" outlineLevel="0" collapsed="false">
      <c r="A20" s="96" t="s">
        <v>192</v>
      </c>
      <c r="B20" s="97" t="s">
        <v>75</v>
      </c>
      <c r="C20" s="98" t="n">
        <v>52</v>
      </c>
      <c r="D20" s="97" t="s">
        <v>76</v>
      </c>
      <c r="E20" s="97" t="n">
        <v>5</v>
      </c>
      <c r="F20" s="99" t="n">
        <v>1500.4</v>
      </c>
      <c r="G20" s="97" t="s">
        <v>87</v>
      </c>
      <c r="H20" s="100" t="n">
        <v>44849</v>
      </c>
      <c r="I20" s="97" t="s">
        <v>121</v>
      </c>
    </row>
    <row r="21" customFormat="false" ht="15" hidden="false" customHeight="true" outlineLevel="0" collapsed="false">
      <c r="A21" s="101" t="s">
        <v>132</v>
      </c>
      <c r="B21" s="10" t="s">
        <v>81</v>
      </c>
      <c r="C21" s="28" t="n">
        <v>50</v>
      </c>
      <c r="D21" s="10" t="s">
        <v>82</v>
      </c>
      <c r="E21" s="10" t="n">
        <v>4</v>
      </c>
      <c r="F21" s="29" t="n">
        <v>2400.68</v>
      </c>
      <c r="G21" s="10" t="s">
        <v>87</v>
      </c>
      <c r="H21" s="30" t="n">
        <v>44844</v>
      </c>
      <c r="I21" s="10" t="s">
        <v>111</v>
      </c>
    </row>
    <row r="22" customFormat="false" ht="15" hidden="false" customHeight="true" outlineLevel="0" collapsed="false">
      <c r="A22" s="96" t="s">
        <v>302</v>
      </c>
      <c r="B22" s="97" t="s">
        <v>75</v>
      </c>
      <c r="C22" s="98" t="n">
        <v>32</v>
      </c>
      <c r="D22" s="97" t="s">
        <v>128</v>
      </c>
      <c r="E22" s="97" t="n">
        <v>2</v>
      </c>
      <c r="F22" s="99" t="n">
        <v>2100</v>
      </c>
      <c r="G22" s="97" t="s">
        <v>87</v>
      </c>
      <c r="H22" s="100" t="n">
        <v>44829</v>
      </c>
      <c r="I22" s="97" t="s">
        <v>121</v>
      </c>
    </row>
    <row r="23" customFormat="false" ht="15" hidden="false" customHeight="true" outlineLevel="0" collapsed="false">
      <c r="A23" s="101" t="s">
        <v>214</v>
      </c>
      <c r="B23" s="10" t="s">
        <v>75</v>
      </c>
      <c r="C23" s="28" t="n">
        <v>57</v>
      </c>
      <c r="D23" s="10" t="s">
        <v>76</v>
      </c>
      <c r="E23" s="10" t="n">
        <v>5</v>
      </c>
      <c r="F23" s="29" t="n">
        <v>1500.4</v>
      </c>
      <c r="G23" s="10" t="s">
        <v>87</v>
      </c>
      <c r="H23" s="30" t="n">
        <v>44825</v>
      </c>
      <c r="I23" s="10" t="s">
        <v>103</v>
      </c>
    </row>
    <row r="24" customFormat="false" ht="15" hidden="false" customHeight="true" outlineLevel="0" collapsed="false">
      <c r="A24" s="96" t="s">
        <v>176</v>
      </c>
      <c r="B24" s="97" t="s">
        <v>81</v>
      </c>
      <c r="C24" s="98" t="n">
        <v>34</v>
      </c>
      <c r="D24" s="97" t="s">
        <v>82</v>
      </c>
      <c r="E24" s="97" t="n">
        <v>5</v>
      </c>
      <c r="F24" s="99" t="n">
        <v>3000.85</v>
      </c>
      <c r="G24" s="97" t="s">
        <v>87</v>
      </c>
      <c r="H24" s="100" t="n">
        <v>44814</v>
      </c>
      <c r="I24" s="97" t="s">
        <v>84</v>
      </c>
    </row>
    <row r="25" customFormat="false" ht="15" hidden="false" customHeight="true" outlineLevel="0" collapsed="false">
      <c r="A25" s="101" t="s">
        <v>133</v>
      </c>
      <c r="B25" s="10" t="s">
        <v>75</v>
      </c>
      <c r="C25" s="28" t="n">
        <v>65</v>
      </c>
      <c r="D25" s="10" t="s">
        <v>82</v>
      </c>
      <c r="E25" s="10" t="n">
        <v>3</v>
      </c>
      <c r="F25" s="29" t="n">
        <v>1800.51</v>
      </c>
      <c r="G25" s="10" t="s">
        <v>87</v>
      </c>
      <c r="H25" s="30" t="n">
        <v>44796</v>
      </c>
      <c r="I25" s="10" t="s">
        <v>115</v>
      </c>
    </row>
    <row r="26" customFormat="false" ht="15" hidden="false" customHeight="true" outlineLevel="0" collapsed="false">
      <c r="A26" s="96" t="s">
        <v>196</v>
      </c>
      <c r="B26" s="97" t="s">
        <v>75</v>
      </c>
      <c r="C26" s="98" t="n">
        <v>43</v>
      </c>
      <c r="D26" s="97" t="s">
        <v>128</v>
      </c>
      <c r="E26" s="97" t="n">
        <v>2</v>
      </c>
      <c r="F26" s="99" t="n">
        <v>2100</v>
      </c>
      <c r="G26" s="97" t="s">
        <v>87</v>
      </c>
      <c r="H26" s="100" t="n">
        <v>44795</v>
      </c>
      <c r="I26" s="97" t="s">
        <v>78</v>
      </c>
    </row>
    <row r="27" customFormat="false" ht="15" hidden="false" customHeight="true" outlineLevel="0" collapsed="false">
      <c r="A27" s="101" t="s">
        <v>178</v>
      </c>
      <c r="B27" s="10" t="s">
        <v>81</v>
      </c>
      <c r="C27" s="28" t="n">
        <v>38</v>
      </c>
      <c r="D27" s="10" t="s">
        <v>109</v>
      </c>
      <c r="E27" s="10" t="n">
        <v>5</v>
      </c>
      <c r="F27" s="29" t="n">
        <v>26.15</v>
      </c>
      <c r="G27" s="10" t="s">
        <v>87</v>
      </c>
      <c r="H27" s="30" t="n">
        <v>44794</v>
      </c>
      <c r="I27" s="10" t="s">
        <v>103</v>
      </c>
    </row>
    <row r="28" customFormat="false" ht="15" hidden="false" customHeight="true" outlineLevel="0" collapsed="false">
      <c r="A28" s="96" t="s">
        <v>203</v>
      </c>
      <c r="B28" s="97" t="s">
        <v>81</v>
      </c>
      <c r="C28" s="98" t="n">
        <v>39</v>
      </c>
      <c r="D28" s="97" t="s">
        <v>109</v>
      </c>
      <c r="E28" s="97" t="n">
        <v>3</v>
      </c>
      <c r="F28" s="99" t="n">
        <v>15.69</v>
      </c>
      <c r="G28" s="97" t="s">
        <v>87</v>
      </c>
      <c r="H28" s="100" t="n">
        <v>44782</v>
      </c>
      <c r="I28" s="97" t="s">
        <v>84</v>
      </c>
    </row>
    <row r="29" customFormat="false" ht="15" hidden="false" customHeight="true" outlineLevel="0" collapsed="false">
      <c r="A29" s="101" t="s">
        <v>235</v>
      </c>
      <c r="B29" s="10" t="s">
        <v>81</v>
      </c>
      <c r="C29" s="28" t="n">
        <v>25</v>
      </c>
      <c r="D29" s="10" t="s">
        <v>76</v>
      </c>
      <c r="E29" s="10" t="n">
        <v>3</v>
      </c>
      <c r="F29" s="29" t="n">
        <v>900.24</v>
      </c>
      <c r="G29" s="10" t="s">
        <v>87</v>
      </c>
      <c r="H29" s="30" t="n">
        <v>44774</v>
      </c>
      <c r="I29" s="10" t="s">
        <v>103</v>
      </c>
    </row>
    <row r="30" customFormat="false" ht="15" hidden="false" customHeight="true" outlineLevel="0" collapsed="false">
      <c r="A30" s="96" t="s">
        <v>204</v>
      </c>
      <c r="B30" s="97" t="s">
        <v>75</v>
      </c>
      <c r="C30" s="98" t="n">
        <v>33</v>
      </c>
      <c r="D30" s="97" t="s">
        <v>76</v>
      </c>
      <c r="E30" s="97" t="n">
        <v>3</v>
      </c>
      <c r="F30" s="99" t="n">
        <v>900.24</v>
      </c>
      <c r="G30" s="97" t="s">
        <v>87</v>
      </c>
      <c r="H30" s="100" t="n">
        <v>44773</v>
      </c>
      <c r="I30" s="97" t="s">
        <v>78</v>
      </c>
    </row>
    <row r="31" customFormat="false" ht="15" hidden="false" customHeight="true" outlineLevel="0" collapsed="false">
      <c r="A31" s="101" t="s">
        <v>184</v>
      </c>
      <c r="B31" s="10" t="s">
        <v>75</v>
      </c>
      <c r="C31" s="28" t="n">
        <v>47</v>
      </c>
      <c r="D31" s="10" t="s">
        <v>109</v>
      </c>
      <c r="E31" s="10" t="n">
        <v>5</v>
      </c>
      <c r="F31" s="29" t="n">
        <v>26.15</v>
      </c>
      <c r="G31" s="10" t="s">
        <v>87</v>
      </c>
      <c r="H31" s="30" t="n">
        <v>44762</v>
      </c>
      <c r="I31" s="10" t="s">
        <v>103</v>
      </c>
    </row>
    <row r="32" customFormat="false" ht="15" hidden="false" customHeight="true" outlineLevel="0" collapsed="false">
      <c r="A32" s="96" t="s">
        <v>287</v>
      </c>
      <c r="B32" s="97" t="s">
        <v>75</v>
      </c>
      <c r="C32" s="98" t="n">
        <v>44</v>
      </c>
      <c r="D32" s="97" t="s">
        <v>109</v>
      </c>
      <c r="E32" s="97" t="n">
        <v>1</v>
      </c>
      <c r="F32" s="99" t="n">
        <v>5.23</v>
      </c>
      <c r="G32" s="97" t="s">
        <v>87</v>
      </c>
      <c r="H32" s="100" t="n">
        <v>44745</v>
      </c>
      <c r="I32" s="97" t="s">
        <v>91</v>
      </c>
    </row>
    <row r="33" customFormat="false" ht="15" hidden="false" customHeight="true" outlineLevel="0" collapsed="false">
      <c r="A33" s="101" t="s">
        <v>148</v>
      </c>
      <c r="B33" s="10" t="s">
        <v>75</v>
      </c>
      <c r="C33" s="28" t="n">
        <v>40</v>
      </c>
      <c r="D33" s="10" t="s">
        <v>82</v>
      </c>
      <c r="E33" s="10" t="n">
        <v>4</v>
      </c>
      <c r="F33" s="29" t="n">
        <v>2400.68</v>
      </c>
      <c r="G33" s="10" t="s">
        <v>87</v>
      </c>
      <c r="H33" s="30" t="n">
        <v>44732</v>
      </c>
      <c r="I33" s="10" t="s">
        <v>88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20"/>
    <col collapsed="false" customWidth="true" hidden="false" outlineLevel="0" max="8" min="7" style="1" width="16"/>
  </cols>
  <sheetData>
    <row r="1" customFormat="false" ht="27.75" hidden="false" customHeight="true" outlineLevel="0" collapsed="false">
      <c r="A1" s="102" t="s">
        <v>437</v>
      </c>
      <c r="B1" s="102"/>
      <c r="C1" s="102"/>
      <c r="D1" s="102"/>
      <c r="E1" s="102"/>
      <c r="F1" s="102"/>
      <c r="G1" s="102"/>
      <c r="H1" s="102"/>
    </row>
    <row r="3" customFormat="false" ht="15" hidden="false" customHeight="true" outlineLevel="0" collapsed="false">
      <c r="A3" s="103" t="s">
        <v>438</v>
      </c>
      <c r="B3" s="103"/>
      <c r="C3" s="103"/>
      <c r="D3" s="103"/>
    </row>
    <row r="4" customFormat="false" ht="15.75" hidden="false" customHeight="true" outlineLevel="0" collapsed="false">
      <c r="A4" s="104" t="s">
        <v>439</v>
      </c>
      <c r="B4" s="104" t="s">
        <v>385</v>
      </c>
      <c r="C4" s="104" t="s">
        <v>440</v>
      </c>
      <c r="D4" s="104" t="s">
        <v>441</v>
      </c>
    </row>
    <row r="5" customFormat="false" ht="15.75" hidden="false" customHeight="true" outlineLevel="0" collapsed="false">
      <c r="A5" s="79" t="s">
        <v>442</v>
      </c>
      <c r="B5" s="79" t="s">
        <v>443</v>
      </c>
      <c r="C5" s="105" t="str">
        <f aca="false">A5&amp;" "&amp;B5</f>
        <v>Alex Don</v>
      </c>
      <c r="D5" s="105" t="str">
        <f aca="false">CONCATENATE(A5," ",B5)</f>
        <v>Alex Don</v>
      </c>
    </row>
    <row r="6" customFormat="false" ht="15.75" hidden="false" customHeight="true" outlineLevel="0" collapsed="false">
      <c r="A6" s="106" t="s">
        <v>444</v>
      </c>
      <c r="B6" s="106" t="s">
        <v>445</v>
      </c>
      <c r="C6" s="107" t="str">
        <f aca="false">A6&amp;" "&amp;B6</f>
        <v>Anita Beesly</v>
      </c>
      <c r="D6" s="107" t="str">
        <f aca="false">CONCATENATE(A6," ",B6)</f>
        <v>Anita Beesly</v>
      </c>
    </row>
    <row r="7" customFormat="false" ht="15.75" hidden="false" customHeight="true" outlineLevel="0" collapsed="false">
      <c r="A7" s="79" t="s">
        <v>446</v>
      </c>
      <c r="B7" s="79" t="s">
        <v>447</v>
      </c>
      <c r="C7" s="105" t="str">
        <f aca="false">A7&amp;" "&amp;B7</f>
        <v>Poomathi Thangarasu</v>
      </c>
      <c r="D7" s="105" t="str">
        <f aca="false">CONCATENATE(A7," ",B7)</f>
        <v>Poomathi Thangarasu</v>
      </c>
    </row>
    <row r="8" customFormat="false" ht="15.75" hidden="false" customHeight="true" outlineLevel="0" collapsed="false">
      <c r="A8" s="106" t="s">
        <v>448</v>
      </c>
      <c r="B8" s="106" t="s">
        <v>449</v>
      </c>
      <c r="C8" s="107" t="str">
        <f aca="false">A8&amp;" "&amp;B8</f>
        <v>Raj Kumar</v>
      </c>
      <c r="D8" s="107" t="str">
        <f aca="false">CONCATENATE(A8," ",B8)</f>
        <v>Raj Kumar</v>
      </c>
    </row>
    <row r="9" customFormat="false" ht="15.75" hidden="false" customHeight="true" outlineLevel="0" collapsed="false">
      <c r="A9" s="79" t="s">
        <v>450</v>
      </c>
      <c r="B9" s="79" t="s">
        <v>451</v>
      </c>
      <c r="C9" s="105" t="str">
        <f aca="false">A9&amp;" "&amp;B9</f>
        <v>Priya Sharma</v>
      </c>
      <c r="D9" s="105" t="str">
        <f aca="false">CONCATENATE(A9," ",B9)</f>
        <v>Priya Sharma</v>
      </c>
    </row>
    <row r="10" customFormat="false" ht="15.75" hidden="false" customHeight="true" outlineLevel="0" collapsed="false">
      <c r="A10" s="106" t="s">
        <v>452</v>
      </c>
      <c r="B10" s="106" t="s">
        <v>453</v>
      </c>
      <c r="C10" s="107" t="str">
        <f aca="false">A10&amp;" "&amp;B10</f>
        <v>Arun Krishnan</v>
      </c>
      <c r="D10" s="107" t="str">
        <f aca="false">CONCATENATE(A10," ",B10)</f>
        <v>Arun Krishnan</v>
      </c>
    </row>
    <row r="12" customFormat="false" ht="7.5" hidden="false" customHeight="true" outlineLevel="0" collapsed="false"/>
    <row r="13" customFormat="false" ht="15" hidden="false" customHeight="true" outlineLevel="0" collapsed="false">
      <c r="A13" s="103" t="s">
        <v>454</v>
      </c>
      <c r="B13" s="103"/>
      <c r="C13" s="103"/>
      <c r="D13" s="103"/>
      <c r="E13" s="103"/>
      <c r="F13" s="103"/>
      <c r="G13" s="103"/>
      <c r="H13" s="103"/>
    </row>
    <row r="14" customFormat="false" ht="15.75" hidden="false" customHeight="true" outlineLevel="0" collapsed="false">
      <c r="A14" s="104" t="s">
        <v>455</v>
      </c>
      <c r="B14" s="104" t="s">
        <v>456</v>
      </c>
      <c r="C14" s="104" t="s">
        <v>457</v>
      </c>
      <c r="D14" s="104" t="s">
        <v>458</v>
      </c>
      <c r="E14" s="104" t="s">
        <v>459</v>
      </c>
      <c r="F14" s="104" t="s">
        <v>460</v>
      </c>
      <c r="G14" s="104" t="s">
        <v>461</v>
      </c>
      <c r="H14" s="104" t="s">
        <v>462</v>
      </c>
    </row>
    <row r="15" customFormat="false" ht="15.75" hidden="false" customHeight="true" outlineLevel="0" collapsed="false">
      <c r="A15" s="78" t="s">
        <v>463</v>
      </c>
      <c r="B15" s="108" t="str">
        <f aca="false">LEFT(A15,5)</f>
        <v>Apple</v>
      </c>
      <c r="C15" s="108" t="str">
        <f aca="false">RIGHT(A15,5)</f>
        <v> 12  </v>
      </c>
      <c r="D15" s="108" t="str">
        <f aca="false">MID(A15,3,4)</f>
        <v>ple </v>
      </c>
      <c r="E15" s="108" t="n">
        <f aca="false">LEN(A15)</f>
        <v>17</v>
      </c>
      <c r="F15" s="108" t="str">
        <f aca="false">TRIM(A15)</f>
        <v>Apple iPhone 12</v>
      </c>
      <c r="G15" s="108" t="str">
        <f aca="false">LOWER(A15)</f>
        <v>apple iphone 12  </v>
      </c>
      <c r="H15" s="108" t="str">
        <f aca="false">UPPER(A15)</f>
        <v>APPLE IPHONE 12  </v>
      </c>
    </row>
    <row r="16" customFormat="false" ht="15.75" hidden="false" customHeight="true" outlineLevel="0" collapsed="false">
      <c r="A16" s="109" t="s">
        <v>464</v>
      </c>
      <c r="B16" s="110" t="str">
        <f aca="false">LEFT(A16,5)</f>
        <v>Samsu</v>
      </c>
      <c r="C16" s="110" t="str">
        <f aca="false">RIGHT(A16,5)</f>
        <v>y S21</v>
      </c>
      <c r="D16" s="110" t="str">
        <f aca="false">MID(A16,3,4)</f>
        <v>msun</v>
      </c>
      <c r="E16" s="110" t="n">
        <f aca="false">LEN(A16)</f>
        <v>18</v>
      </c>
      <c r="F16" s="110" t="str">
        <f aca="false">TRIM(A16)</f>
        <v>Samsung Galaxy S21</v>
      </c>
      <c r="G16" s="110" t="str">
        <f aca="false">LOWER(A16)</f>
        <v>samsung galaxy s21</v>
      </c>
      <c r="H16" s="110" t="str">
        <f aca="false">UPPER(A16)</f>
        <v>SAMSUNG GALAXY S21</v>
      </c>
    </row>
    <row r="17" customFormat="false" ht="15.75" hidden="false" customHeight="true" outlineLevel="0" collapsed="false">
      <c r="A17" s="78" t="s">
        <v>465</v>
      </c>
      <c r="B17" s="108" t="str">
        <f aca="false">LEFT(A17,5)</f>
        <v>  Clo</v>
      </c>
      <c r="C17" s="108" t="str">
        <f aca="false">RIGHT(A17,5)</f>
        <v>ing  </v>
      </c>
      <c r="D17" s="108" t="str">
        <f aca="false">MID(A17,3,4)</f>
        <v>Clot</v>
      </c>
      <c r="E17" s="108" t="n">
        <f aca="false">LEN(A17)</f>
        <v>12</v>
      </c>
      <c r="F17" s="108" t="str">
        <f aca="false">TRIM(A17)</f>
        <v>Clothing</v>
      </c>
      <c r="G17" s="108" t="str">
        <f aca="false">LOWER(A17)</f>
        <v>  clothing  </v>
      </c>
      <c r="H17" s="108" t="str">
        <f aca="false">UPPER(A17)</f>
        <v>  CLOTHING  </v>
      </c>
    </row>
    <row r="18" customFormat="false" ht="15.75" hidden="false" customHeight="true" outlineLevel="0" collapsed="false">
      <c r="A18" s="109" t="s">
        <v>84</v>
      </c>
      <c r="B18" s="110" t="str">
        <f aca="false">LEFT(A18,5)</f>
        <v>Forum</v>
      </c>
      <c r="C18" s="110" t="str">
        <f aca="false">RIGHT(A18,5)</f>
        <v>anbul</v>
      </c>
      <c r="D18" s="110" t="str">
        <f aca="false">MID(A18,3,4)</f>
        <v>rum </v>
      </c>
      <c r="E18" s="110" t="n">
        <f aca="false">LEN(A18)</f>
        <v>14</v>
      </c>
      <c r="F18" s="110" t="str">
        <f aca="false">TRIM(A18)</f>
        <v>Forum Istanbul</v>
      </c>
      <c r="G18" s="110" t="str">
        <f aca="false">LOWER(A18)</f>
        <v>forum istanbul</v>
      </c>
      <c r="H18" s="110" t="str">
        <f aca="false">UPPER(A18)</f>
        <v>FORUM ISTANBUL</v>
      </c>
    </row>
  </sheetData>
  <mergeCells count="3">
    <mergeCell ref="A1:H1"/>
    <mergeCell ref="A3:D3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16"/>
    <col collapsed="false" customWidth="true" hidden="false" outlineLevel="0" max="6" min="4" style="1" width="10"/>
    <col collapsed="false" customWidth="true" hidden="false" outlineLevel="0" max="7" min="7" style="1" width="18"/>
  </cols>
  <sheetData>
    <row r="1" customFormat="false" ht="27.75" hidden="false" customHeight="true" outlineLevel="0" collapsed="false">
      <c r="A1" s="55" t="s">
        <v>466</v>
      </c>
      <c r="B1" s="55"/>
      <c r="C1" s="55"/>
      <c r="D1" s="55"/>
      <c r="E1" s="55"/>
      <c r="F1" s="55"/>
      <c r="G1" s="55"/>
    </row>
    <row r="3" customFormat="false" ht="19.5" hidden="false" customHeight="true" outlineLevel="0" collapsed="false">
      <c r="A3" s="17" t="s">
        <v>467</v>
      </c>
      <c r="B3" s="17" t="s">
        <v>468</v>
      </c>
      <c r="C3" s="17" t="s">
        <v>469</v>
      </c>
      <c r="D3" s="17" t="s">
        <v>470</v>
      </c>
      <c r="E3" s="17" t="s">
        <v>471</v>
      </c>
      <c r="F3" s="17" t="s">
        <v>472</v>
      </c>
      <c r="G3" s="17" t="s">
        <v>473</v>
      </c>
    </row>
    <row r="4" customFormat="false" ht="18" hidden="false" customHeight="true" outlineLevel="0" collapsed="false">
      <c r="A4" s="111" t="n">
        <v>45200</v>
      </c>
      <c r="B4" s="111" t="n">
        <v>45219</v>
      </c>
      <c r="C4" s="112" t="n">
        <f aca="false">B4-A4</f>
        <v>19</v>
      </c>
      <c r="D4" s="113" t="n">
        <f aca="false">YEAR(A4)</f>
        <v>2023</v>
      </c>
      <c r="E4" s="113" t="n">
        <f aca="false">MONTH(A4)</f>
        <v>10</v>
      </c>
      <c r="F4" s="113" t="n">
        <f aca="false">DAY(A4)</f>
        <v>1</v>
      </c>
      <c r="G4" s="113" t="n">
        <f aca="true">TODAY()-A4</f>
        <v>985</v>
      </c>
    </row>
    <row r="5" customFormat="false" ht="18" hidden="false" customHeight="true" outlineLevel="0" collapsed="false">
      <c r="A5" s="114" t="n">
        <v>45005</v>
      </c>
      <c r="B5" s="114" t="n">
        <v>45291</v>
      </c>
      <c r="C5" s="115" t="n">
        <f aca="false">B5-A5</f>
        <v>286</v>
      </c>
      <c r="D5" s="108" t="n">
        <f aca="false">YEAR(A5)</f>
        <v>2023</v>
      </c>
      <c r="E5" s="108" t="n">
        <f aca="false">MONTH(A5)</f>
        <v>3</v>
      </c>
      <c r="F5" s="108" t="n">
        <f aca="false">DAY(A5)</f>
        <v>20</v>
      </c>
      <c r="G5" s="108" t="n">
        <f aca="true">TODAY()-A5</f>
        <v>1180</v>
      </c>
    </row>
    <row r="6" customFormat="false" ht="18" hidden="false" customHeight="true" outlineLevel="0" collapsed="false">
      <c r="A6" s="111" t="n">
        <v>44576</v>
      </c>
      <c r="B6" s="111" t="n">
        <v>44742</v>
      </c>
      <c r="C6" s="112" t="n">
        <f aca="false">B6-A6</f>
        <v>166</v>
      </c>
      <c r="D6" s="113" t="n">
        <f aca="false">YEAR(A6)</f>
        <v>2022</v>
      </c>
      <c r="E6" s="113" t="n">
        <f aca="false">MONTH(A6)</f>
        <v>1</v>
      </c>
      <c r="F6" s="113" t="n">
        <f aca="false">DAY(A6)</f>
        <v>15</v>
      </c>
      <c r="G6" s="113" t="n">
        <f aca="true">TODAY()-A6</f>
        <v>1609</v>
      </c>
    </row>
    <row r="7" customFormat="false" ht="18" hidden="false" customHeight="true" outlineLevel="0" collapsed="false">
      <c r="A7" s="114" t="n">
        <v>44348</v>
      </c>
      <c r="B7" s="114" t="n">
        <v>45292</v>
      </c>
      <c r="C7" s="115" t="n">
        <f aca="false">B7-A7</f>
        <v>944</v>
      </c>
      <c r="D7" s="108" t="n">
        <f aca="false">YEAR(A7)</f>
        <v>2021</v>
      </c>
      <c r="E7" s="108" t="n">
        <f aca="false">MONTH(A7)</f>
        <v>6</v>
      </c>
      <c r="F7" s="108" t="n">
        <f aca="false">DAY(A7)</f>
        <v>1</v>
      </c>
      <c r="G7" s="108" t="n">
        <f aca="true">TODAY()-A7</f>
        <v>1837</v>
      </c>
    </row>
    <row r="9" customFormat="false" ht="7.5" hidden="false" customHeight="true" outlineLevel="0" collapsed="false"/>
    <row r="10" customFormat="false" ht="18" hidden="false" customHeight="true" outlineLevel="0" collapsed="false">
      <c r="A10" s="17" t="s">
        <v>474</v>
      </c>
      <c r="B10" s="17"/>
      <c r="C10" s="17"/>
      <c r="D10" s="17"/>
      <c r="E10" s="17"/>
      <c r="F10" s="17"/>
      <c r="G10" s="17"/>
    </row>
    <row r="11" customFormat="false" ht="15.75" hidden="false" customHeight="true" outlineLevel="0" collapsed="false">
      <c r="A11" s="116" t="s">
        <v>475</v>
      </c>
      <c r="B11" s="117"/>
      <c r="C11" s="118" t="s">
        <v>476</v>
      </c>
      <c r="D11" s="118"/>
      <c r="E11" s="118"/>
      <c r="F11" s="118"/>
      <c r="G11" s="118"/>
    </row>
    <row r="12" customFormat="false" ht="15.75" hidden="false" customHeight="true" outlineLevel="0" collapsed="false">
      <c r="A12" s="119" t="s">
        <v>477</v>
      </c>
      <c r="B12" s="120"/>
      <c r="C12" s="121" t="s">
        <v>478</v>
      </c>
      <c r="D12" s="121"/>
      <c r="E12" s="121"/>
      <c r="F12" s="121"/>
      <c r="G12" s="121"/>
    </row>
    <row r="13" customFormat="false" ht="15.75" hidden="false" customHeight="true" outlineLevel="0" collapsed="false">
      <c r="A13" s="122" t="s">
        <v>479</v>
      </c>
      <c r="B13" s="117"/>
      <c r="C13" s="118" t="s">
        <v>480</v>
      </c>
      <c r="D13" s="118"/>
      <c r="E13" s="118"/>
      <c r="F13" s="118"/>
      <c r="G13" s="118"/>
    </row>
    <row r="14" customFormat="false" ht="15.75" hidden="false" customHeight="true" outlineLevel="0" collapsed="false">
      <c r="A14" s="123" t="s">
        <v>481</v>
      </c>
      <c r="B14" s="120"/>
      <c r="C14" s="121" t="s">
        <v>482</v>
      </c>
      <c r="D14" s="121"/>
      <c r="E14" s="121"/>
      <c r="F14" s="121"/>
      <c r="G14" s="121"/>
    </row>
    <row r="15" customFormat="false" ht="15.75" hidden="false" customHeight="true" outlineLevel="0" collapsed="false">
      <c r="A15" s="122" t="s">
        <v>483</v>
      </c>
      <c r="B15" s="117"/>
      <c r="C15" s="118" t="s">
        <v>484</v>
      </c>
      <c r="D15" s="118"/>
      <c r="E15" s="118"/>
      <c r="F15" s="118"/>
      <c r="G15" s="118"/>
    </row>
    <row r="16" customFormat="false" ht="15.75" hidden="false" customHeight="true" outlineLevel="0" collapsed="false">
      <c r="A16" s="123" t="s">
        <v>485</v>
      </c>
      <c r="B16" s="120"/>
      <c r="C16" s="121" t="s">
        <v>486</v>
      </c>
      <c r="D16" s="121"/>
      <c r="E16" s="121"/>
      <c r="F16" s="121"/>
      <c r="G16" s="121"/>
    </row>
    <row r="17" customFormat="false" ht="15.75" hidden="false" customHeight="true" outlineLevel="0" collapsed="false">
      <c r="A17" s="122" t="s">
        <v>487</v>
      </c>
      <c r="B17" s="117"/>
      <c r="C17" s="118" t="s">
        <v>488</v>
      </c>
      <c r="D17" s="118"/>
      <c r="E17" s="118"/>
      <c r="F17" s="118"/>
      <c r="G17" s="118"/>
    </row>
    <row r="18" customFormat="false" ht="15.75" hidden="false" customHeight="true" outlineLevel="0" collapsed="false">
      <c r="A18" s="123" t="s">
        <v>489</v>
      </c>
      <c r="B18" s="120"/>
      <c r="C18" s="121" t="s">
        <v>490</v>
      </c>
      <c r="D18" s="121"/>
      <c r="E18" s="121"/>
      <c r="F18" s="121"/>
      <c r="G18" s="121"/>
    </row>
  </sheetData>
  <mergeCells count="10">
    <mergeCell ref="A1:G1"/>
    <mergeCell ref="A10:G10"/>
    <mergeCell ref="C11:G11"/>
    <mergeCell ref="C12:G12"/>
    <mergeCell ref="C13:G13"/>
    <mergeCell ref="C14:G14"/>
    <mergeCell ref="C15:G15"/>
    <mergeCell ref="C16:G16"/>
    <mergeCell ref="C17:G17"/>
    <mergeCell ref="C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28"/>
    <col collapsed="false" customWidth="true" hidden="false" outlineLevel="0" max="4" min="4" style="1" width="4"/>
  </cols>
  <sheetData>
    <row r="1" customFormat="false" ht="27.75" hidden="false" customHeight="true" outlineLevel="0" collapsed="false">
      <c r="A1" s="124" t="s">
        <v>491</v>
      </c>
      <c r="B1" s="124"/>
      <c r="C1" s="124"/>
      <c r="D1" s="124"/>
    </row>
    <row r="2" customFormat="false" ht="15" hidden="false" customHeight="true" outlineLevel="0" collapsed="false">
      <c r="A2" s="125" t="s">
        <v>492</v>
      </c>
      <c r="B2" s="125"/>
      <c r="C2" s="125"/>
      <c r="D2" s="125"/>
    </row>
    <row r="3" customFormat="false" ht="19.5" hidden="false" customHeight="true" outlineLevel="0" collapsed="false">
      <c r="A3" s="126" t="s">
        <v>493</v>
      </c>
      <c r="B3" s="126" t="s">
        <v>494</v>
      </c>
    </row>
    <row r="4" customFormat="false" ht="18" hidden="false" customHeight="true" outlineLevel="0" collapsed="false">
      <c r="A4" s="127" t="s">
        <v>495</v>
      </c>
      <c r="B4" s="128" t="n">
        <v>500</v>
      </c>
    </row>
    <row r="5" customFormat="false" ht="18" hidden="false" customHeight="true" outlineLevel="0" collapsed="false">
      <c r="A5" s="129" t="s">
        <v>496</v>
      </c>
      <c r="B5" s="130" t="n">
        <v>750</v>
      </c>
    </row>
    <row r="6" customFormat="false" ht="18" hidden="false" customHeight="true" outlineLevel="0" collapsed="false">
      <c r="A6" s="127" t="s">
        <v>495</v>
      </c>
      <c r="B6" s="128" t="n">
        <v>600</v>
      </c>
    </row>
    <row r="7" customFormat="false" ht="18" hidden="false" customHeight="true" outlineLevel="0" collapsed="false">
      <c r="A7" s="129" t="s">
        <v>497</v>
      </c>
      <c r="B7" s="130" t="n">
        <v>450</v>
      </c>
    </row>
    <row r="8" customFormat="false" ht="18" hidden="false" customHeight="true" outlineLevel="0" collapsed="false">
      <c r="A8" s="127" t="s">
        <v>496</v>
      </c>
      <c r="B8" s="128" t="n">
        <v>800</v>
      </c>
    </row>
    <row r="9" customFormat="false" ht="18" hidden="false" customHeight="true" outlineLevel="0" collapsed="false">
      <c r="A9" s="129" t="s">
        <v>498</v>
      </c>
      <c r="B9" s="130" t="n">
        <v>650</v>
      </c>
    </row>
    <row r="10" customFormat="false" ht="18" hidden="false" customHeight="true" outlineLevel="0" collapsed="false">
      <c r="A10" s="127" t="s">
        <v>498</v>
      </c>
      <c r="B10" s="128" t="n">
        <v>400</v>
      </c>
    </row>
    <row r="11" customFormat="false" ht="18" hidden="false" customHeight="true" outlineLevel="0" collapsed="false">
      <c r="A11" s="129" t="s">
        <v>497</v>
      </c>
      <c r="B11" s="130" t="n">
        <v>550</v>
      </c>
    </row>
    <row r="12" customFormat="false" ht="18" hidden="false" customHeight="true" outlineLevel="0" collapsed="false">
      <c r="A12" s="127" t="s">
        <v>495</v>
      </c>
      <c r="B12" s="128" t="n">
        <v>300</v>
      </c>
    </row>
    <row r="13" customFormat="false" ht="18" hidden="false" customHeight="true" outlineLevel="0" collapsed="false">
      <c r="A13" s="129" t="s">
        <v>496</v>
      </c>
      <c r="B13" s="130" t="n">
        <v>600</v>
      </c>
    </row>
    <row r="14" customFormat="false" ht="19.5" hidden="false" customHeight="true" outlineLevel="0" collapsed="false">
      <c r="A14" s="126" t="s">
        <v>499</v>
      </c>
      <c r="B14" s="131" t="n">
        <f aca="false">SUM(B4:B13)</f>
        <v>5600</v>
      </c>
    </row>
    <row r="16" customFormat="false" ht="7.5" hidden="false" customHeight="true" outlineLevel="0" collapsed="false"/>
    <row r="17" customFormat="false" ht="18" hidden="false" customHeight="true" outlineLevel="0" collapsed="false">
      <c r="A17" s="14" t="s">
        <v>500</v>
      </c>
      <c r="B17" s="14"/>
      <c r="C17" s="14"/>
      <c r="D17" s="14"/>
    </row>
    <row r="18" customFormat="false" ht="15.75" hidden="false" customHeight="true" outlineLevel="0" collapsed="false">
      <c r="A18" s="132" t="n">
        <v>1</v>
      </c>
      <c r="B18" s="133" t="s">
        <v>316</v>
      </c>
      <c r="C18" s="134" t="n">
        <f aca="false">SUBTOTAL(1,B4:B13)</f>
        <v>560</v>
      </c>
      <c r="D18" s="134"/>
    </row>
    <row r="19" customFormat="false" ht="15.75" hidden="false" customHeight="true" outlineLevel="0" collapsed="false">
      <c r="A19" s="135" t="n">
        <v>2</v>
      </c>
      <c r="B19" s="79" t="s">
        <v>501</v>
      </c>
      <c r="C19" s="136" t="n">
        <f aca="false">SUBTOTAL(2,B4:B13)</f>
        <v>10</v>
      </c>
      <c r="D19" s="136"/>
    </row>
    <row r="20" customFormat="false" ht="15.75" hidden="false" customHeight="true" outlineLevel="0" collapsed="false">
      <c r="A20" s="132" t="n">
        <v>3</v>
      </c>
      <c r="B20" s="133" t="s">
        <v>502</v>
      </c>
      <c r="C20" s="137" t="n">
        <f aca="false">SUBTOTAL(3,B4:B13)</f>
        <v>10</v>
      </c>
      <c r="D20" s="137"/>
    </row>
    <row r="21" customFormat="false" ht="15.75" hidden="false" customHeight="true" outlineLevel="0" collapsed="false">
      <c r="A21" s="135" t="n">
        <v>9</v>
      </c>
      <c r="B21" s="79" t="s">
        <v>503</v>
      </c>
      <c r="C21" s="138" t="n">
        <f aca="false">SUBTOTAL(9,B4:B13)</f>
        <v>5600</v>
      </c>
      <c r="D21" s="138"/>
    </row>
    <row r="22" customFormat="false" ht="15.75" hidden="false" customHeight="true" outlineLevel="0" collapsed="false">
      <c r="A22" s="132" t="n">
        <v>10</v>
      </c>
      <c r="B22" s="133" t="s">
        <v>504</v>
      </c>
      <c r="C22" s="137" t="n">
        <f aca="false">SUBTOTAL(10,B4:B13)</f>
        <v>23777.7777777778</v>
      </c>
      <c r="D22" s="137"/>
    </row>
    <row r="23" customFormat="false" ht="15.75" hidden="false" customHeight="true" outlineLevel="0" collapsed="false">
      <c r="A23" s="135" t="n">
        <v>11</v>
      </c>
      <c r="B23" s="79" t="s">
        <v>505</v>
      </c>
      <c r="C23" s="136" t="n">
        <f aca="false">SUBTOTAL(11,B4:B13)</f>
        <v>21400</v>
      </c>
      <c r="D23" s="136"/>
    </row>
  </sheetData>
  <mergeCells count="9">
    <mergeCell ref="A1:D1"/>
    <mergeCell ref="A2:D2"/>
    <mergeCell ref="A17:D17"/>
    <mergeCell ref="C18:D18"/>
    <mergeCell ref="C19:D19"/>
    <mergeCell ref="C20:D20"/>
    <mergeCell ref="C21:D21"/>
    <mergeCell ref="C22:D22"/>
    <mergeCell ref="C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2026-06-12T08:36:42Z</dcterms:created>
  <dc:creator>openpyxl</dc:creator>
  <dc:description/>
  <dc:language>en-US</dc:language>
  <cp:lastModifiedBy/>
  <dcterms:modified xsi:type="dcterms:W3CDTF">2026-06-12T08:38:11Z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