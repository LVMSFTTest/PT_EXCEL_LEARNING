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b7684679461d60/Desktop/BIA/1.Excel/Fundamental/"/>
    </mc:Choice>
  </mc:AlternateContent>
  <xr:revisionPtr revIDLastSave="1137" documentId="8_{D26FAED8-2357-4092-BCA1-2B54C5DFD199}" xr6:coauthVersionLast="47" xr6:coauthVersionMax="47" xr10:uidLastSave="{3D4EC91A-864F-42CB-A413-9B4257680E52}"/>
  <bookViews>
    <workbookView xWindow="-108" yWindow="-108" windowWidth="23256" windowHeight="12456" firstSheet="11" activeTab="15" xr2:uid="{00000000-000D-0000-FFFF-FFFF00000000}"/>
  </bookViews>
  <sheets>
    <sheet name="Sheet1 (2)" sheetId="19" r:id="rId1"/>
    <sheet name="Rough Work" sheetId="13" r:id="rId2"/>
    <sheet name="customer_shopping_data" sheetId="1" r:id="rId3"/>
    <sheet name="Text Function" sheetId="3" r:id="rId4"/>
    <sheet name="Concat" sheetId="4" r:id="rId5"/>
    <sheet name="Format Printer" sheetId="5" r:id="rId6"/>
    <sheet name="Number Format" sheetId="6" r:id="rId7"/>
    <sheet name="Dates &amp; Time" sheetId="7" r:id="rId8"/>
    <sheet name="VLOOKUP" sheetId="8" r:id="rId9"/>
    <sheet name="HLOOKUP" sheetId="9" r:id="rId10"/>
    <sheet name="Conditional Functions" sheetId="10" r:id="rId11"/>
    <sheet name="Text Operations" sheetId="14" r:id="rId12"/>
    <sheet name="Conditional Formatting" sheetId="11" r:id="rId13"/>
    <sheet name="Sort &amp; Filter" sheetId="12" r:id="rId14"/>
    <sheet name="Subtotal" sheetId="15" r:id="rId15"/>
    <sheet name="Practice 1" sheetId="16" r:id="rId16"/>
    <sheet name="Practice 2" sheetId="17" r:id="rId17"/>
    <sheet name="Sheet1" sheetId="18" r:id="rId18"/>
  </sheets>
  <definedNames>
    <definedName name="_xlnm._FilterDatabase" localSheetId="12" hidden="1">'Conditional Formatting'!$A$1:$K$121</definedName>
    <definedName name="_xlnm._FilterDatabase" localSheetId="10" hidden="1">'Conditional Functions'!$A$1:$D$201</definedName>
    <definedName name="_xlnm._FilterDatabase" localSheetId="2" hidden="1">customer_shopping_data!$A$1:$I$201</definedName>
    <definedName name="_xlnm._FilterDatabase" localSheetId="13" hidden="1">'Sort &amp; Filter'!$A$1:$I$201</definedName>
  </definedNames>
  <calcPr calcId="191028"/>
  <pivotCaches>
    <pivotCache cacheId="0" r:id="rId19"/>
    <pivotCache cacheId="1" r:id="rId20"/>
    <pivotCache cacheId="5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5" l="1"/>
  <c r="E19" i="15"/>
  <c r="F19" i="15"/>
  <c r="G19" i="15"/>
  <c r="C19" i="15"/>
  <c r="G11" i="15"/>
  <c r="F11" i="15"/>
  <c r="E11" i="15"/>
  <c r="D11" i="15"/>
  <c r="C11" i="15"/>
  <c r="B11" i="15"/>
  <c r="G9" i="15"/>
  <c r="G12" i="15" s="1"/>
  <c r="F9" i="15"/>
  <c r="F12" i="15" s="1"/>
  <c r="E9" i="15"/>
  <c r="E12" i="15" s="1"/>
  <c r="D9" i="15"/>
  <c r="D12" i="15" s="1"/>
  <c r="C9" i="15"/>
  <c r="C12" i="15" s="1"/>
  <c r="B9" i="15"/>
  <c r="B12" i="15" s="1"/>
  <c r="I106" i="11"/>
  <c r="J106" i="11" s="1"/>
  <c r="K106" i="11" s="1"/>
  <c r="I28" i="11"/>
  <c r="J28" i="11" s="1"/>
  <c r="K28" i="11" s="1"/>
  <c r="I26" i="11"/>
  <c r="J26" i="11" s="1"/>
  <c r="K26" i="11" s="1"/>
  <c r="I100" i="11"/>
  <c r="J100" i="11" s="1"/>
  <c r="K100" i="11" s="1"/>
  <c r="I60" i="11"/>
  <c r="J60" i="11" s="1"/>
  <c r="K60" i="11" s="1"/>
  <c r="I13" i="11"/>
  <c r="J13" i="11" s="1"/>
  <c r="K13" i="11" s="1"/>
  <c r="I97" i="11"/>
  <c r="J97" i="11" s="1"/>
  <c r="K97" i="11" s="1"/>
  <c r="I70" i="11"/>
  <c r="J70" i="11" s="1"/>
  <c r="K70" i="11" s="1"/>
  <c r="I77" i="11"/>
  <c r="J77" i="11" s="1"/>
  <c r="K77" i="11" s="1"/>
  <c r="I4" i="11"/>
  <c r="J4" i="11" s="1"/>
  <c r="K4" i="11" s="1"/>
  <c r="I90" i="11"/>
  <c r="J90" i="11" s="1"/>
  <c r="K90" i="11" s="1"/>
  <c r="I8" i="11"/>
  <c r="J8" i="11" s="1"/>
  <c r="K8" i="11" s="1"/>
  <c r="I87" i="11"/>
  <c r="J87" i="11" s="1"/>
  <c r="K87" i="11" s="1"/>
  <c r="I81" i="11"/>
  <c r="J81" i="11" s="1"/>
  <c r="K81" i="11" s="1"/>
  <c r="I11" i="11"/>
  <c r="J11" i="11" s="1"/>
  <c r="K11" i="11" s="1"/>
  <c r="I76" i="11"/>
  <c r="J76" i="11" s="1"/>
  <c r="K76" i="11" s="1"/>
  <c r="I20" i="11"/>
  <c r="J20" i="11" s="1"/>
  <c r="K20" i="11" s="1"/>
  <c r="I5" i="11"/>
  <c r="J5" i="11" s="1"/>
  <c r="K5" i="11" s="1"/>
  <c r="I68" i="11"/>
  <c r="J68" i="11" s="1"/>
  <c r="K68" i="11" s="1"/>
  <c r="I88" i="11"/>
  <c r="J88" i="11" s="1"/>
  <c r="K88" i="11" s="1"/>
  <c r="I113" i="11"/>
  <c r="J113" i="11" s="1"/>
  <c r="K113" i="11" s="1"/>
  <c r="I44" i="11"/>
  <c r="J44" i="11" s="1"/>
  <c r="K44" i="11" s="1"/>
  <c r="I84" i="11"/>
  <c r="J84" i="11" s="1"/>
  <c r="K84" i="11" s="1"/>
  <c r="I22" i="11"/>
  <c r="J22" i="11" s="1"/>
  <c r="K22" i="11" s="1"/>
  <c r="I94" i="11"/>
  <c r="J94" i="11" s="1"/>
  <c r="K94" i="11" s="1"/>
  <c r="I110" i="11"/>
  <c r="J110" i="11" s="1"/>
  <c r="K110" i="11" s="1"/>
  <c r="I114" i="11"/>
  <c r="J114" i="11" s="1"/>
  <c r="K114" i="11" s="1"/>
  <c r="I29" i="11"/>
  <c r="J29" i="11" s="1"/>
  <c r="K29" i="11" s="1"/>
  <c r="I35" i="11"/>
  <c r="J35" i="11" s="1"/>
  <c r="K35" i="11" s="1"/>
  <c r="I118" i="11"/>
  <c r="J118" i="11" s="1"/>
  <c r="K118" i="11" s="1"/>
  <c r="I9" i="11"/>
  <c r="J9" i="11" s="1"/>
  <c r="K9" i="11" s="1"/>
  <c r="I50" i="11"/>
  <c r="J50" i="11" s="1"/>
  <c r="K50" i="11" s="1"/>
  <c r="I12" i="11"/>
  <c r="J12" i="11" s="1"/>
  <c r="K12" i="11" s="1"/>
  <c r="I38" i="11"/>
  <c r="J38" i="11" s="1"/>
  <c r="K38" i="11" s="1"/>
  <c r="I37" i="11"/>
  <c r="J37" i="11" s="1"/>
  <c r="K37" i="11" s="1"/>
  <c r="I16" i="11"/>
  <c r="J16" i="11" s="1"/>
  <c r="K16" i="11" s="1"/>
  <c r="I14" i="11"/>
  <c r="J14" i="11" s="1"/>
  <c r="K14" i="11" s="1"/>
  <c r="I61" i="11"/>
  <c r="J61" i="11" s="1"/>
  <c r="K61" i="11" s="1"/>
  <c r="I47" i="11"/>
  <c r="J47" i="11" s="1"/>
  <c r="K47" i="11" s="1"/>
  <c r="I58" i="11"/>
  <c r="J58" i="11" s="1"/>
  <c r="K58" i="11" s="1"/>
  <c r="I98" i="11"/>
  <c r="J98" i="11" s="1"/>
  <c r="K98" i="11" s="1"/>
  <c r="I72" i="11"/>
  <c r="J72" i="11" s="1"/>
  <c r="K72" i="11" s="1"/>
  <c r="I17" i="11"/>
  <c r="J17" i="11" s="1"/>
  <c r="K17" i="11" s="1"/>
  <c r="I86" i="11"/>
  <c r="J86" i="11" s="1"/>
  <c r="K86" i="11" s="1"/>
  <c r="I36" i="11"/>
  <c r="J36" i="11" s="1"/>
  <c r="K36" i="11" s="1"/>
  <c r="I96" i="11"/>
  <c r="J96" i="11" s="1"/>
  <c r="K96" i="11" s="1"/>
  <c r="I85" i="11"/>
  <c r="J85" i="11" s="1"/>
  <c r="K85" i="11" s="1"/>
  <c r="I66" i="11"/>
  <c r="J66" i="11" s="1"/>
  <c r="K66" i="11" s="1"/>
  <c r="I108" i="11"/>
  <c r="J108" i="11" s="1"/>
  <c r="K108" i="11" s="1"/>
  <c r="I117" i="11"/>
  <c r="J117" i="11" s="1"/>
  <c r="K117" i="11" s="1"/>
  <c r="I3" i="11"/>
  <c r="J3" i="11" s="1"/>
  <c r="K3" i="11" s="1"/>
  <c r="I80" i="11"/>
  <c r="J80" i="11" s="1"/>
  <c r="K80" i="11" s="1"/>
  <c r="I24" i="11"/>
  <c r="J24" i="11" s="1"/>
  <c r="K24" i="11" s="1"/>
  <c r="I7" i="11"/>
  <c r="J7" i="11" s="1"/>
  <c r="K7" i="11" s="1"/>
  <c r="I63" i="11"/>
  <c r="J63" i="11" s="1"/>
  <c r="K63" i="11" s="1"/>
  <c r="I101" i="11"/>
  <c r="J101" i="11" s="1"/>
  <c r="K101" i="11" s="1"/>
  <c r="I27" i="11"/>
  <c r="J27" i="11" s="1"/>
  <c r="K27" i="11" s="1"/>
  <c r="I52" i="11"/>
  <c r="J52" i="11" s="1"/>
  <c r="K52" i="11" s="1"/>
  <c r="I34" i="11"/>
  <c r="J34" i="11" s="1"/>
  <c r="K34" i="11" s="1"/>
  <c r="I39" i="11"/>
  <c r="J39" i="11" s="1"/>
  <c r="K39" i="11" s="1"/>
  <c r="I64" i="11"/>
  <c r="J64" i="11" s="1"/>
  <c r="K64" i="11" s="1"/>
  <c r="I65" i="11"/>
  <c r="J65" i="11" s="1"/>
  <c r="K65" i="11" s="1"/>
  <c r="I42" i="11"/>
  <c r="J42" i="11" s="1"/>
  <c r="K42" i="11" s="1"/>
  <c r="I33" i="11"/>
  <c r="J33" i="11" s="1"/>
  <c r="K33" i="11" s="1"/>
  <c r="I120" i="11"/>
  <c r="J120" i="11" s="1"/>
  <c r="K120" i="11" s="1"/>
  <c r="I21" i="11"/>
  <c r="J21" i="11" s="1"/>
  <c r="K21" i="11" s="1"/>
  <c r="I89" i="11"/>
  <c r="J89" i="11" s="1"/>
  <c r="K89" i="11" s="1"/>
  <c r="I92" i="11"/>
  <c r="J92" i="11" s="1"/>
  <c r="K92" i="11" s="1"/>
  <c r="I59" i="11"/>
  <c r="J59" i="11" s="1"/>
  <c r="K59" i="11" s="1"/>
  <c r="I115" i="11"/>
  <c r="J115" i="11" s="1"/>
  <c r="K115" i="11" s="1"/>
  <c r="I79" i="11"/>
  <c r="J79" i="11" s="1"/>
  <c r="K79" i="11" s="1"/>
  <c r="I119" i="11"/>
  <c r="J119" i="11" s="1"/>
  <c r="K119" i="11" s="1"/>
  <c r="I48" i="11"/>
  <c r="J48" i="11" s="1"/>
  <c r="K48" i="11" s="1"/>
  <c r="I78" i="11"/>
  <c r="J78" i="11" s="1"/>
  <c r="K78" i="11" s="1"/>
  <c r="I99" i="11"/>
  <c r="J99" i="11" s="1"/>
  <c r="K99" i="11" s="1"/>
  <c r="I2" i="11"/>
  <c r="J2" i="11" s="1"/>
  <c r="K2" i="11" s="1"/>
  <c r="I112" i="11"/>
  <c r="J112" i="11" s="1"/>
  <c r="K112" i="11" s="1"/>
  <c r="I49" i="11"/>
  <c r="J49" i="11" s="1"/>
  <c r="K49" i="11" s="1"/>
  <c r="I116" i="11"/>
  <c r="J116" i="11" s="1"/>
  <c r="K116" i="11" s="1"/>
  <c r="I43" i="11"/>
  <c r="J43" i="11" s="1"/>
  <c r="K43" i="11" s="1"/>
  <c r="I69" i="11"/>
  <c r="J69" i="11" s="1"/>
  <c r="K69" i="11" s="1"/>
  <c r="I71" i="11"/>
  <c r="J71" i="11" s="1"/>
  <c r="K71" i="11" s="1"/>
  <c r="I83" i="11"/>
  <c r="J83" i="11" s="1"/>
  <c r="K83" i="11" s="1"/>
  <c r="I75" i="11"/>
  <c r="J75" i="11" s="1"/>
  <c r="K75" i="11" s="1"/>
  <c r="I19" i="11"/>
  <c r="J19" i="11" s="1"/>
  <c r="K19" i="11" s="1"/>
  <c r="I46" i="11"/>
  <c r="J46" i="11" s="1"/>
  <c r="K46" i="11" s="1"/>
  <c r="I31" i="11"/>
  <c r="J31" i="11" s="1"/>
  <c r="K31" i="11" s="1"/>
  <c r="I104" i="11"/>
  <c r="J104" i="11" s="1"/>
  <c r="K104" i="11" s="1"/>
  <c r="I10" i="11"/>
  <c r="J10" i="11" s="1"/>
  <c r="K10" i="11" s="1"/>
  <c r="I67" i="11"/>
  <c r="J67" i="11" s="1"/>
  <c r="K67" i="11" s="1"/>
  <c r="I30" i="11"/>
  <c r="J30" i="11" s="1"/>
  <c r="K30" i="11" s="1"/>
  <c r="I15" i="11"/>
  <c r="J15" i="11" s="1"/>
  <c r="K15" i="11" s="1"/>
  <c r="I73" i="11"/>
  <c r="J73" i="11" s="1"/>
  <c r="K73" i="11" s="1"/>
  <c r="I41" i="11"/>
  <c r="J41" i="11" s="1"/>
  <c r="K41" i="11" s="1"/>
  <c r="I93" i="11"/>
  <c r="J93" i="11" s="1"/>
  <c r="K93" i="11" s="1"/>
  <c r="I57" i="11"/>
  <c r="J57" i="11" s="1"/>
  <c r="K57" i="11" s="1"/>
  <c r="I121" i="11"/>
  <c r="J121" i="11" s="1"/>
  <c r="K121" i="11" s="1"/>
  <c r="I91" i="11"/>
  <c r="J91" i="11" s="1"/>
  <c r="K91" i="11" s="1"/>
  <c r="I95" i="11"/>
  <c r="J95" i="11" s="1"/>
  <c r="K95" i="11" s="1"/>
  <c r="I55" i="11"/>
  <c r="J55" i="11" s="1"/>
  <c r="K55" i="11" s="1"/>
  <c r="I56" i="11"/>
  <c r="J56" i="11" s="1"/>
  <c r="K56" i="11" s="1"/>
  <c r="I74" i="11"/>
  <c r="J74" i="11" s="1"/>
  <c r="K74" i="11" s="1"/>
  <c r="I18" i="11"/>
  <c r="J18" i="11" s="1"/>
  <c r="K18" i="11" s="1"/>
  <c r="I111" i="11"/>
  <c r="J111" i="11" s="1"/>
  <c r="K111" i="11" s="1"/>
  <c r="I62" i="11"/>
  <c r="J62" i="11" s="1"/>
  <c r="K62" i="11" s="1"/>
  <c r="I82" i="11"/>
  <c r="J82" i="11" s="1"/>
  <c r="K82" i="11" s="1"/>
  <c r="I40" i="11"/>
  <c r="J40" i="11" s="1"/>
  <c r="K40" i="11" s="1"/>
  <c r="I45" i="11"/>
  <c r="J45" i="11" s="1"/>
  <c r="K45" i="11" s="1"/>
  <c r="I109" i="11"/>
  <c r="J109" i="11" s="1"/>
  <c r="K109" i="11" s="1"/>
  <c r="I51" i="11"/>
  <c r="J51" i="11" s="1"/>
  <c r="K51" i="11" s="1"/>
  <c r="I25" i="11"/>
  <c r="J25" i="11" s="1"/>
  <c r="K25" i="11" s="1"/>
  <c r="I102" i="11"/>
  <c r="J102" i="11" s="1"/>
  <c r="K102" i="11" s="1"/>
  <c r="I23" i="11"/>
  <c r="J23" i="11" s="1"/>
  <c r="K23" i="11" s="1"/>
  <c r="I107" i="11"/>
  <c r="J107" i="11" s="1"/>
  <c r="K107" i="11" s="1"/>
  <c r="I53" i="11"/>
  <c r="J53" i="11" s="1"/>
  <c r="K53" i="11" s="1"/>
  <c r="I103" i="11"/>
  <c r="J103" i="11" s="1"/>
  <c r="K103" i="11" s="1"/>
  <c r="I105" i="11"/>
  <c r="J105" i="11" s="1"/>
  <c r="K105" i="11" s="1"/>
  <c r="I54" i="11"/>
  <c r="J54" i="11" s="1"/>
  <c r="K54" i="11" s="1"/>
  <c r="I6" i="11"/>
  <c r="J6" i="11" s="1"/>
  <c r="K6" i="11" s="1"/>
  <c r="I32" i="11"/>
  <c r="J32" i="11" s="1"/>
  <c r="K32" i="11" s="1"/>
  <c r="H106" i="11"/>
  <c r="H28" i="11"/>
  <c r="H26" i="11"/>
  <c r="H100" i="11"/>
  <c r="H60" i="11"/>
  <c r="H13" i="11"/>
  <c r="H97" i="11"/>
  <c r="H70" i="11"/>
  <c r="H77" i="11"/>
  <c r="H4" i="11"/>
  <c r="H90" i="11"/>
  <c r="H8" i="11"/>
  <c r="H87" i="11"/>
  <c r="H81" i="11"/>
  <c r="H11" i="11"/>
  <c r="H76" i="11"/>
  <c r="H20" i="11"/>
  <c r="H5" i="11"/>
  <c r="H68" i="11"/>
  <c r="H88" i="11"/>
  <c r="H113" i="11"/>
  <c r="H44" i="11"/>
  <c r="H84" i="11"/>
  <c r="H22" i="11"/>
  <c r="H94" i="11"/>
  <c r="H110" i="11"/>
  <c r="H114" i="11"/>
  <c r="H29" i="11"/>
  <c r="H35" i="11"/>
  <c r="H118" i="11"/>
  <c r="H9" i="11"/>
  <c r="H50" i="11"/>
  <c r="H12" i="11"/>
  <c r="H38" i="11"/>
  <c r="H37" i="11"/>
  <c r="H16" i="11"/>
  <c r="H14" i="11"/>
  <c r="H61" i="11"/>
  <c r="H47" i="11"/>
  <c r="H58" i="11"/>
  <c r="H98" i="11"/>
  <c r="H72" i="11"/>
  <c r="H17" i="11"/>
  <c r="H86" i="11"/>
  <c r="H36" i="11"/>
  <c r="H96" i="11"/>
  <c r="H85" i="11"/>
  <c r="H66" i="11"/>
  <c r="H108" i="11"/>
  <c r="H117" i="11"/>
  <c r="H3" i="11"/>
  <c r="H80" i="11"/>
  <c r="H24" i="11"/>
  <c r="H7" i="11"/>
  <c r="H63" i="11"/>
  <c r="H101" i="11"/>
  <c r="H27" i="11"/>
  <c r="H52" i="11"/>
  <c r="H34" i="11"/>
  <c r="H39" i="11"/>
  <c r="H64" i="11"/>
  <c r="H65" i="11"/>
  <c r="H42" i="11"/>
  <c r="H33" i="11"/>
  <c r="H120" i="11"/>
  <c r="H21" i="11"/>
  <c r="H89" i="11"/>
  <c r="H92" i="11"/>
  <c r="H59" i="11"/>
  <c r="H115" i="11"/>
  <c r="H79" i="11"/>
  <c r="H119" i="11"/>
  <c r="H48" i="11"/>
  <c r="H78" i="11"/>
  <c r="H99" i="11"/>
  <c r="H2" i="11"/>
  <c r="H112" i="11"/>
  <c r="H49" i="11"/>
  <c r="H116" i="11"/>
  <c r="H43" i="11"/>
  <c r="H69" i="11"/>
  <c r="H71" i="11"/>
  <c r="H83" i="11"/>
  <c r="H75" i="11"/>
  <c r="H19" i="11"/>
  <c r="H46" i="11"/>
  <c r="H31" i="11"/>
  <c r="H104" i="11"/>
  <c r="H10" i="11"/>
  <c r="H67" i="11"/>
  <c r="H30" i="11"/>
  <c r="H15" i="11"/>
  <c r="H73" i="11"/>
  <c r="H41" i="11"/>
  <c r="H93" i="11"/>
  <c r="H57" i="11"/>
  <c r="H121" i="11"/>
  <c r="H91" i="11"/>
  <c r="H95" i="11"/>
  <c r="H55" i="11"/>
  <c r="H56" i="11"/>
  <c r="H74" i="11"/>
  <c r="H18" i="11"/>
  <c r="H111" i="11"/>
  <c r="H62" i="11"/>
  <c r="H82" i="11"/>
  <c r="H40" i="11"/>
  <c r="H45" i="11"/>
  <c r="H109" i="11"/>
  <c r="H51" i="11"/>
  <c r="H25" i="11"/>
  <c r="H102" i="11"/>
  <c r="H23" i="11"/>
  <c r="H107" i="11"/>
  <c r="H53" i="11"/>
  <c r="H103" i="11"/>
  <c r="H105" i="11"/>
  <c r="H54" i="11"/>
  <c r="H6" i="11"/>
  <c r="H32" i="11"/>
  <c r="I2" i="14"/>
  <c r="H3" i="14"/>
  <c r="H4" i="14"/>
  <c r="H5" i="14"/>
  <c r="H6" i="14"/>
  <c r="H7" i="14"/>
  <c r="H2" i="14"/>
  <c r="G3" i="14"/>
  <c r="G4" i="14"/>
  <c r="G5" i="14"/>
  <c r="G6" i="14"/>
  <c r="G7" i="14"/>
  <c r="G2" i="14"/>
  <c r="F2" i="14"/>
  <c r="F3" i="14"/>
  <c r="F4" i="14"/>
  <c r="F5" i="14"/>
  <c r="F6" i="14"/>
  <c r="F7" i="14"/>
  <c r="E3" i="14"/>
  <c r="E4" i="14"/>
  <c r="E5" i="14"/>
  <c r="E6" i="14"/>
  <c r="E7" i="14"/>
  <c r="E2" i="14"/>
  <c r="D3" i="14"/>
  <c r="D4" i="14"/>
  <c r="D5" i="14"/>
  <c r="D6" i="14"/>
  <c r="D7" i="14"/>
  <c r="D2" i="14"/>
  <c r="C3" i="14"/>
  <c r="C4" i="14"/>
  <c r="C5" i="14"/>
  <c r="C6" i="14"/>
  <c r="C7" i="14"/>
  <c r="C2" i="14"/>
  <c r="B3" i="14"/>
  <c r="B4" i="14"/>
  <c r="B5" i="14"/>
  <c r="B6" i="14"/>
  <c r="B7" i="14"/>
  <c r="B2" i="14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F3" i="9"/>
  <c r="F4" i="8"/>
  <c r="F5" i="8"/>
  <c r="C3" i="7"/>
  <c r="F3" i="7"/>
  <c r="G2" i="7"/>
  <c r="F2" i="7"/>
  <c r="H1" i="7"/>
  <c r="E3" i="4"/>
  <c r="E4" i="4"/>
  <c r="E5" i="4"/>
  <c r="E6" i="4"/>
  <c r="E7" i="4"/>
  <c r="E8" i="4"/>
  <c r="E9" i="4"/>
  <c r="E2" i="4"/>
  <c r="D9" i="4"/>
  <c r="D3" i="4"/>
  <c r="D4" i="4"/>
  <c r="D5" i="4"/>
  <c r="D6" i="4"/>
  <c r="D7" i="4"/>
  <c r="D8" i="4"/>
  <c r="D2" i="4"/>
  <c r="G1" i="3"/>
  <c r="B3" i="3"/>
  <c r="C1" i="3"/>
  <c r="L10" i="1"/>
  <c r="L9" i="1"/>
  <c r="L8" i="1"/>
  <c r="L6" i="1"/>
  <c r="L5" i="1"/>
  <c r="L3" i="1"/>
  <c r="M2" i="1"/>
  <c r="L2" i="1"/>
  <c r="N16" i="13"/>
  <c r="N3" i="13"/>
  <c r="N4" i="13"/>
  <c r="N5" i="13"/>
  <c r="N6" i="13"/>
  <c r="N7" i="13"/>
  <c r="N8" i="13"/>
  <c r="N9" i="13"/>
  <c r="N10" i="13"/>
  <c r="N11" i="13"/>
  <c r="N12" i="13"/>
  <c r="N13" i="13"/>
  <c r="N14" i="13"/>
  <c r="N2" i="13"/>
  <c r="G7" i="13"/>
  <c r="G6" i="13"/>
  <c r="G5" i="13"/>
  <c r="G4" i="13"/>
  <c r="G3" i="13"/>
  <c r="W2" i="13"/>
  <c r="U3" i="13" s="1"/>
  <c r="Y2" i="13" s="1"/>
  <c r="W3" i="13"/>
  <c r="W4" i="13"/>
  <c r="W5" i="13"/>
  <c r="Q12" i="13"/>
  <c r="S12" i="13"/>
  <c r="R10" i="13"/>
  <c r="R12" i="13" s="1"/>
  <c r="R9" i="13"/>
  <c r="X9" i="13"/>
  <c r="X10" i="13"/>
  <c r="X8" i="13"/>
  <c r="E14" i="16"/>
  <c r="D15" i="16"/>
  <c r="D16" i="16"/>
  <c r="D17" i="16"/>
  <c r="D18" i="16"/>
  <c r="D14" i="16"/>
  <c r="D3" i="15"/>
  <c r="C3" i="15"/>
  <c r="G4" i="15"/>
  <c r="F4" i="15"/>
  <c r="E4" i="15"/>
  <c r="D4" i="15"/>
  <c r="C4" i="15"/>
  <c r="G3" i="15"/>
  <c r="F3" i="15"/>
  <c r="E3" i="15"/>
  <c r="N3" i="11"/>
  <c r="O3" i="11" s="1"/>
  <c r="P3" i="11" s="1"/>
  <c r="N4" i="11"/>
  <c r="O4" i="11" s="1"/>
  <c r="P4" i="11" s="1"/>
  <c r="N5" i="11"/>
  <c r="O5" i="11" s="1"/>
  <c r="P5" i="11" s="1"/>
  <c r="N6" i="11"/>
  <c r="O6" i="11" s="1"/>
  <c r="P6" i="11" s="1"/>
  <c r="N7" i="11"/>
  <c r="O7" i="11" s="1"/>
  <c r="P7" i="11" s="1"/>
  <c r="N8" i="11"/>
  <c r="O8" i="11" s="1"/>
  <c r="P8" i="11" s="1"/>
  <c r="N9" i="11"/>
  <c r="O9" i="11" s="1"/>
  <c r="P9" i="11" s="1"/>
  <c r="N10" i="11"/>
  <c r="O10" i="11" s="1"/>
  <c r="P10" i="11" s="1"/>
  <c r="N11" i="11"/>
  <c r="O11" i="11" s="1"/>
  <c r="P11" i="11" s="1"/>
  <c r="N12" i="11"/>
  <c r="O12" i="11" s="1"/>
  <c r="P12" i="11" s="1"/>
  <c r="N13" i="11"/>
  <c r="O13" i="11" s="1"/>
  <c r="P13" i="11" s="1"/>
  <c r="N14" i="11"/>
  <c r="O14" i="11" s="1"/>
  <c r="P14" i="11" s="1"/>
  <c r="N15" i="11"/>
  <c r="O15" i="11" s="1"/>
  <c r="P15" i="11" s="1"/>
  <c r="N16" i="11"/>
  <c r="O16" i="11" s="1"/>
  <c r="P16" i="11" s="1"/>
  <c r="N17" i="11"/>
  <c r="O17" i="11" s="1"/>
  <c r="P17" i="11" s="1"/>
  <c r="N18" i="11"/>
  <c r="O18" i="11" s="1"/>
  <c r="P18" i="11" s="1"/>
  <c r="N19" i="11"/>
  <c r="O19" i="11" s="1"/>
  <c r="P19" i="11" s="1"/>
  <c r="N20" i="11"/>
  <c r="O20" i="11" s="1"/>
  <c r="P20" i="11" s="1"/>
  <c r="N21" i="11"/>
  <c r="O21" i="11" s="1"/>
  <c r="P21" i="11" s="1"/>
  <c r="N22" i="11"/>
  <c r="O22" i="11" s="1"/>
  <c r="P22" i="11" s="1"/>
  <c r="N23" i="11"/>
  <c r="O23" i="11" s="1"/>
  <c r="P23" i="11" s="1"/>
  <c r="N24" i="11"/>
  <c r="O24" i="11" s="1"/>
  <c r="P24" i="11" s="1"/>
  <c r="N25" i="11"/>
  <c r="O25" i="11" s="1"/>
  <c r="P25" i="11" s="1"/>
  <c r="N26" i="11"/>
  <c r="O26" i="11" s="1"/>
  <c r="P26" i="11" s="1"/>
  <c r="N27" i="11"/>
  <c r="O27" i="11" s="1"/>
  <c r="P27" i="11" s="1"/>
  <c r="N28" i="11"/>
  <c r="O28" i="11" s="1"/>
  <c r="P28" i="11" s="1"/>
  <c r="N29" i="11"/>
  <c r="O29" i="11" s="1"/>
  <c r="P29" i="11" s="1"/>
  <c r="N30" i="11"/>
  <c r="O30" i="11" s="1"/>
  <c r="P30" i="11" s="1"/>
  <c r="N31" i="11"/>
  <c r="O31" i="11" s="1"/>
  <c r="P31" i="11" s="1"/>
  <c r="N32" i="11"/>
  <c r="O32" i="11" s="1"/>
  <c r="P32" i="11" s="1"/>
  <c r="N33" i="11"/>
  <c r="O33" i="11" s="1"/>
  <c r="P33" i="11" s="1"/>
  <c r="N34" i="11"/>
  <c r="O34" i="11" s="1"/>
  <c r="P34" i="11" s="1"/>
  <c r="N35" i="11"/>
  <c r="O35" i="11" s="1"/>
  <c r="P35" i="11" s="1"/>
  <c r="N36" i="11"/>
  <c r="O36" i="11" s="1"/>
  <c r="P36" i="11" s="1"/>
  <c r="N37" i="11"/>
  <c r="O37" i="11" s="1"/>
  <c r="P37" i="11" s="1"/>
  <c r="N38" i="11"/>
  <c r="O38" i="11" s="1"/>
  <c r="P38" i="11" s="1"/>
  <c r="N39" i="11"/>
  <c r="O39" i="11" s="1"/>
  <c r="P39" i="11" s="1"/>
  <c r="N40" i="11"/>
  <c r="O40" i="11" s="1"/>
  <c r="P40" i="11" s="1"/>
  <c r="N41" i="11"/>
  <c r="O41" i="11" s="1"/>
  <c r="P41" i="11" s="1"/>
  <c r="N42" i="11"/>
  <c r="O42" i="11" s="1"/>
  <c r="P42" i="11" s="1"/>
  <c r="N43" i="11"/>
  <c r="O43" i="11" s="1"/>
  <c r="P43" i="11" s="1"/>
  <c r="N44" i="11"/>
  <c r="O44" i="11" s="1"/>
  <c r="P44" i="11" s="1"/>
  <c r="N45" i="11"/>
  <c r="O45" i="11" s="1"/>
  <c r="P45" i="11" s="1"/>
  <c r="N46" i="11"/>
  <c r="O46" i="11" s="1"/>
  <c r="P46" i="11" s="1"/>
  <c r="N47" i="11"/>
  <c r="O47" i="11" s="1"/>
  <c r="P47" i="11" s="1"/>
  <c r="N48" i="11"/>
  <c r="O48" i="11" s="1"/>
  <c r="P48" i="11" s="1"/>
  <c r="N49" i="11"/>
  <c r="O49" i="11" s="1"/>
  <c r="P49" i="11" s="1"/>
  <c r="N50" i="11"/>
  <c r="O50" i="11" s="1"/>
  <c r="P50" i="11" s="1"/>
  <c r="N51" i="11"/>
  <c r="O51" i="11" s="1"/>
  <c r="P51" i="11" s="1"/>
  <c r="N52" i="11"/>
  <c r="O52" i="11" s="1"/>
  <c r="P52" i="11" s="1"/>
  <c r="N53" i="11"/>
  <c r="O53" i="11" s="1"/>
  <c r="P53" i="11" s="1"/>
  <c r="N54" i="11"/>
  <c r="O54" i="11" s="1"/>
  <c r="P54" i="11" s="1"/>
  <c r="N55" i="11"/>
  <c r="O55" i="11" s="1"/>
  <c r="P55" i="11" s="1"/>
  <c r="N56" i="11"/>
  <c r="O56" i="11" s="1"/>
  <c r="P56" i="11" s="1"/>
  <c r="N57" i="11"/>
  <c r="O57" i="11" s="1"/>
  <c r="P57" i="11" s="1"/>
  <c r="N58" i="11"/>
  <c r="O58" i="11" s="1"/>
  <c r="P58" i="11" s="1"/>
  <c r="N59" i="11"/>
  <c r="O59" i="11" s="1"/>
  <c r="P59" i="11" s="1"/>
  <c r="N60" i="11"/>
  <c r="O60" i="11" s="1"/>
  <c r="P60" i="11" s="1"/>
  <c r="N61" i="11"/>
  <c r="O61" i="11" s="1"/>
  <c r="P61" i="11" s="1"/>
  <c r="N62" i="11"/>
  <c r="O62" i="11" s="1"/>
  <c r="P62" i="11" s="1"/>
  <c r="N63" i="11"/>
  <c r="O63" i="11" s="1"/>
  <c r="P63" i="11" s="1"/>
  <c r="N64" i="11"/>
  <c r="O64" i="11" s="1"/>
  <c r="P64" i="11" s="1"/>
  <c r="N65" i="11"/>
  <c r="O65" i="11" s="1"/>
  <c r="P65" i="11" s="1"/>
  <c r="N66" i="11"/>
  <c r="O66" i="11" s="1"/>
  <c r="P66" i="11" s="1"/>
  <c r="N67" i="11"/>
  <c r="O67" i="11" s="1"/>
  <c r="P67" i="11" s="1"/>
  <c r="N68" i="11"/>
  <c r="O68" i="11" s="1"/>
  <c r="P68" i="11" s="1"/>
  <c r="N69" i="11"/>
  <c r="O69" i="11" s="1"/>
  <c r="P69" i="11" s="1"/>
  <c r="N70" i="11"/>
  <c r="O70" i="11" s="1"/>
  <c r="P70" i="11" s="1"/>
  <c r="N71" i="11"/>
  <c r="O71" i="11" s="1"/>
  <c r="P71" i="11" s="1"/>
  <c r="N72" i="11"/>
  <c r="O72" i="11" s="1"/>
  <c r="P72" i="11" s="1"/>
  <c r="N73" i="11"/>
  <c r="O73" i="11" s="1"/>
  <c r="P73" i="11" s="1"/>
  <c r="N74" i="11"/>
  <c r="O74" i="11" s="1"/>
  <c r="P74" i="11" s="1"/>
  <c r="N75" i="11"/>
  <c r="O75" i="11" s="1"/>
  <c r="P75" i="11" s="1"/>
  <c r="N76" i="11"/>
  <c r="O76" i="11" s="1"/>
  <c r="P76" i="11" s="1"/>
  <c r="N77" i="11"/>
  <c r="O77" i="11" s="1"/>
  <c r="P77" i="11" s="1"/>
  <c r="N78" i="11"/>
  <c r="O78" i="11" s="1"/>
  <c r="P78" i="11" s="1"/>
  <c r="N79" i="11"/>
  <c r="O79" i="11" s="1"/>
  <c r="P79" i="11" s="1"/>
  <c r="N80" i="11"/>
  <c r="O80" i="11" s="1"/>
  <c r="P80" i="11" s="1"/>
  <c r="N81" i="11"/>
  <c r="O81" i="11" s="1"/>
  <c r="P81" i="11" s="1"/>
  <c r="N82" i="11"/>
  <c r="O82" i="11" s="1"/>
  <c r="P82" i="11" s="1"/>
  <c r="N83" i="11"/>
  <c r="O83" i="11" s="1"/>
  <c r="P83" i="11" s="1"/>
  <c r="N84" i="11"/>
  <c r="O84" i="11" s="1"/>
  <c r="P84" i="11" s="1"/>
  <c r="N85" i="11"/>
  <c r="O85" i="11" s="1"/>
  <c r="P85" i="11" s="1"/>
  <c r="N86" i="11"/>
  <c r="O86" i="11" s="1"/>
  <c r="P86" i="11" s="1"/>
  <c r="N87" i="11"/>
  <c r="O87" i="11" s="1"/>
  <c r="P87" i="11" s="1"/>
  <c r="N88" i="11"/>
  <c r="O88" i="11" s="1"/>
  <c r="P88" i="11" s="1"/>
  <c r="N89" i="11"/>
  <c r="O89" i="11" s="1"/>
  <c r="P89" i="11" s="1"/>
  <c r="N90" i="11"/>
  <c r="O90" i="11" s="1"/>
  <c r="P90" i="11" s="1"/>
  <c r="N91" i="11"/>
  <c r="O91" i="11" s="1"/>
  <c r="P91" i="11" s="1"/>
  <c r="N92" i="11"/>
  <c r="O92" i="11" s="1"/>
  <c r="P92" i="11" s="1"/>
  <c r="N93" i="11"/>
  <c r="O93" i="11" s="1"/>
  <c r="P93" i="11" s="1"/>
  <c r="N94" i="11"/>
  <c r="O94" i="11" s="1"/>
  <c r="P94" i="11" s="1"/>
  <c r="N95" i="11"/>
  <c r="O95" i="11" s="1"/>
  <c r="P95" i="11" s="1"/>
  <c r="N96" i="11"/>
  <c r="O96" i="11" s="1"/>
  <c r="P96" i="11" s="1"/>
  <c r="N97" i="11"/>
  <c r="O97" i="11" s="1"/>
  <c r="P97" i="11" s="1"/>
  <c r="N98" i="11"/>
  <c r="O98" i="11" s="1"/>
  <c r="P98" i="11" s="1"/>
  <c r="N99" i="11"/>
  <c r="O99" i="11" s="1"/>
  <c r="P99" i="11" s="1"/>
  <c r="N100" i="11"/>
  <c r="O100" i="11" s="1"/>
  <c r="P100" i="11" s="1"/>
  <c r="N101" i="11"/>
  <c r="O101" i="11" s="1"/>
  <c r="P101" i="11" s="1"/>
  <c r="N102" i="11"/>
  <c r="O102" i="11" s="1"/>
  <c r="P102" i="11" s="1"/>
  <c r="N103" i="11"/>
  <c r="O103" i="11" s="1"/>
  <c r="P103" i="11" s="1"/>
  <c r="N104" i="11"/>
  <c r="O104" i="11" s="1"/>
  <c r="P104" i="11" s="1"/>
  <c r="N105" i="11"/>
  <c r="O105" i="11" s="1"/>
  <c r="P105" i="11" s="1"/>
  <c r="N106" i="11"/>
  <c r="O106" i="11" s="1"/>
  <c r="P106" i="11" s="1"/>
  <c r="N107" i="11"/>
  <c r="O107" i="11" s="1"/>
  <c r="P107" i="11" s="1"/>
  <c r="N108" i="11"/>
  <c r="O108" i="11" s="1"/>
  <c r="P108" i="11" s="1"/>
  <c r="N109" i="11"/>
  <c r="O109" i="11" s="1"/>
  <c r="P109" i="11" s="1"/>
  <c r="N110" i="11"/>
  <c r="O110" i="11" s="1"/>
  <c r="P110" i="11" s="1"/>
  <c r="N111" i="11"/>
  <c r="O111" i="11" s="1"/>
  <c r="P111" i="11" s="1"/>
  <c r="N112" i="11"/>
  <c r="O112" i="11" s="1"/>
  <c r="P112" i="11" s="1"/>
  <c r="N113" i="11"/>
  <c r="O113" i="11" s="1"/>
  <c r="P113" i="11" s="1"/>
  <c r="N114" i="11"/>
  <c r="O114" i="11" s="1"/>
  <c r="P114" i="11" s="1"/>
  <c r="N115" i="11"/>
  <c r="O115" i="11" s="1"/>
  <c r="P115" i="11" s="1"/>
  <c r="N116" i="11"/>
  <c r="O116" i="11" s="1"/>
  <c r="P116" i="11" s="1"/>
  <c r="N117" i="11"/>
  <c r="O117" i="11" s="1"/>
  <c r="P117" i="11" s="1"/>
  <c r="N118" i="11"/>
  <c r="O118" i="11" s="1"/>
  <c r="P118" i="11" s="1"/>
  <c r="N119" i="11"/>
  <c r="O119" i="11" s="1"/>
  <c r="P119" i="11" s="1"/>
  <c r="N120" i="11"/>
  <c r="O120" i="11" s="1"/>
  <c r="P120" i="11" s="1"/>
  <c r="N121" i="11"/>
  <c r="O121" i="11" s="1"/>
  <c r="P121" i="11" s="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2" i="11"/>
  <c r="H2" i="9"/>
  <c r="H2" i="7"/>
  <c r="H3" i="7"/>
  <c r="B5" i="3"/>
  <c r="B2" i="3"/>
  <c r="B12" i="13"/>
  <c r="D12" i="13"/>
  <c r="C12" i="13"/>
  <c r="E10" i="13"/>
  <c r="E11" i="13"/>
  <c r="E9" i="13"/>
  <c r="E4" i="13"/>
  <c r="E3" i="13"/>
  <c r="E2" i="13"/>
  <c r="E1" i="13"/>
  <c r="C2" i="13"/>
  <c r="C1" i="13"/>
  <c r="O2" i="11" l="1"/>
  <c r="P2" i="11" s="1"/>
  <c r="Y3" i="13"/>
  <c r="U4" i="13"/>
  <c r="Y4" i="13" s="1"/>
  <c r="E12" i="13"/>
  <c r="U5" i="13" l="1"/>
  <c r="Y5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Kavita Patel</author>
  </authors>
  <commentList>
    <comment ref="K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Addition of Price column to calculate total price/cost</t>
        </r>
      </text>
    </comment>
    <comment ref="K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Addition of Price when payment method is "Cash"</t>
        </r>
      </text>
    </comment>
    <comment ref="K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Counting the quantity</t>
        </r>
      </text>
    </comment>
    <comment ref="K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No. of Customer at Kanyon Mall</t>
        </r>
      </text>
    </comment>
    <comment ref="K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Average age of the customer</t>
        </r>
      </text>
    </comment>
  </commentList>
</comments>
</file>

<file path=xl/sharedStrings.xml><?xml version="1.0" encoding="utf-8"?>
<sst xmlns="http://schemas.openxmlformats.org/spreadsheetml/2006/main" count="2635" uniqueCount="547">
  <si>
    <t>invoice_no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</si>
  <si>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</si>
  <si>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</si>
  <si>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</si>
  <si>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</si>
  <si>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</si>
  <si>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</si>
  <si>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</si>
  <si>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</si>
  <si>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I138884</t>
  </si>
  <si>
    <t>Female</t>
  </si>
  <si>
    <t>Clothing</t>
  </si>
  <si>
    <t>Credit Card</t>
  </si>
  <si>
    <t>Kanyon</t>
  </si>
  <si>
    <t>SUM</t>
  </si>
  <si>
    <t>I317333</t>
  </si>
  <si>
    <t>Male</t>
  </si>
  <si>
    <t>Shoes</t>
  </si>
  <si>
    <t>Debit Card</t>
  </si>
  <si>
    <t>Forum Istanbul</t>
  </si>
  <si>
    <t>SUMIF</t>
  </si>
  <si>
    <t>I127801</t>
  </si>
  <si>
    <t>Cash</t>
  </si>
  <si>
    <t>Metrocity</t>
  </si>
  <si>
    <t>I173702</t>
  </si>
  <si>
    <t>Metropol AVM</t>
  </si>
  <si>
    <t>COUNT</t>
  </si>
  <si>
    <t>I337046</t>
  </si>
  <si>
    <t>Books</t>
  </si>
  <si>
    <t>COUNTIF</t>
  </si>
  <si>
    <t>I227836</t>
  </si>
  <si>
    <t>I121056</t>
  </si>
  <si>
    <t>Cosmetics</t>
  </si>
  <si>
    <t>Istinye Park</t>
  </si>
  <si>
    <t>AVERAGE</t>
  </si>
  <si>
    <t>I293112</t>
  </si>
  <si>
    <t>Mall of Istanbul</t>
  </si>
  <si>
    <t>I293455</t>
  </si>
  <si>
    <t>I326945</t>
  </si>
  <si>
    <t>I306368</t>
  </si>
  <si>
    <t>Food &amp; Beverage</t>
  </si>
  <si>
    <t>I139207</t>
  </si>
  <si>
    <t>Emaar Square Mall</t>
  </si>
  <si>
    <t>I640508</t>
  </si>
  <si>
    <t>Toys</t>
  </si>
  <si>
    <t>I179802</t>
  </si>
  <si>
    <t>Cevahir AVM</t>
  </si>
  <si>
    <t>I336189</t>
  </si>
  <si>
    <t>I688768</t>
  </si>
  <si>
    <t>Viaport Outlet</t>
  </si>
  <si>
    <t>I294687</t>
  </si>
  <si>
    <t>I195744</t>
  </si>
  <si>
    <t>Zorlu Center</t>
  </si>
  <si>
    <t>I993048</t>
  </si>
  <si>
    <t>I992454</t>
  </si>
  <si>
    <t>I183746</t>
  </si>
  <si>
    <t>I412481</t>
  </si>
  <si>
    <t>I823067</t>
  </si>
  <si>
    <t>I252275</t>
  </si>
  <si>
    <t>Technology</t>
  </si>
  <si>
    <t>I174250</t>
  </si>
  <si>
    <t>I195396</t>
  </si>
  <si>
    <t>I196704</t>
  </si>
  <si>
    <t>I217053</t>
  </si>
  <si>
    <t>I655874</t>
  </si>
  <si>
    <t>I209744</t>
  </si>
  <si>
    <t>I161949</t>
  </si>
  <si>
    <t>I331891</t>
  </si>
  <si>
    <t>I768348</t>
  </si>
  <si>
    <t>I109053</t>
  </si>
  <si>
    <t>I167211</t>
  </si>
  <si>
    <t>I339732</t>
  </si>
  <si>
    <t>I147062</t>
  </si>
  <si>
    <t>I187519</t>
  </si>
  <si>
    <t>I106674</t>
  </si>
  <si>
    <t>I473411</t>
  </si>
  <si>
    <t>I246550</t>
  </si>
  <si>
    <t>I138674</t>
  </si>
  <si>
    <t>I752693</t>
  </si>
  <si>
    <t>I826174</t>
  </si>
  <si>
    <t>I296025</t>
  </si>
  <si>
    <t>I117291</t>
  </si>
  <si>
    <t>I267193</t>
  </si>
  <si>
    <t>I205366</t>
  </si>
  <si>
    <t>I269690</t>
  </si>
  <si>
    <t>I304265</t>
  </si>
  <si>
    <t>I246562</t>
  </si>
  <si>
    <t>I202367</t>
  </si>
  <si>
    <t>I664787</t>
  </si>
  <si>
    <t>I160777</t>
  </si>
  <si>
    <t>I137794</t>
  </si>
  <si>
    <t>I148377</t>
  </si>
  <si>
    <t>I258195</t>
  </si>
  <si>
    <t>I300213</t>
  </si>
  <si>
    <t>I263803</t>
  </si>
  <si>
    <t>I335713</t>
  </si>
  <si>
    <t>I133061</t>
  </si>
  <si>
    <t>I207205</t>
  </si>
  <si>
    <t>I209289</t>
  </si>
  <si>
    <t>I157285</t>
  </si>
  <si>
    <t>I218590</t>
  </si>
  <si>
    <t>I181109</t>
  </si>
  <si>
    <t>I221715</t>
  </si>
  <si>
    <t>I204979</t>
  </si>
  <si>
    <t>Souvenir</t>
  </si>
  <si>
    <t>I115146</t>
  </si>
  <si>
    <t>I883721</t>
  </si>
  <si>
    <t>I402376</t>
  </si>
  <si>
    <t>I251356</t>
  </si>
  <si>
    <t>I292239</t>
  </si>
  <si>
    <t>I276526</t>
  </si>
  <si>
    <t>I260525</t>
  </si>
  <si>
    <t>I870944</t>
  </si>
  <si>
    <t>I739573</t>
  </si>
  <si>
    <t>I115870</t>
  </si>
  <si>
    <t>I190444</t>
  </si>
  <si>
    <t>I309552</t>
  </si>
  <si>
    <t>I306076</t>
  </si>
  <si>
    <t>I321683</t>
  </si>
  <si>
    <t>I151332</t>
  </si>
  <si>
    <t>I340014</t>
  </si>
  <si>
    <t>I249424</t>
  </si>
  <si>
    <t>I227716</t>
  </si>
  <si>
    <t>I140663</t>
  </si>
  <si>
    <t>I253242</t>
  </si>
  <si>
    <t>I108359</t>
  </si>
  <si>
    <t>I195567</t>
  </si>
  <si>
    <t>I289643</t>
  </si>
  <si>
    <t>I722319</t>
  </si>
  <si>
    <t>I317105</t>
  </si>
  <si>
    <t>I215721</t>
  </si>
  <si>
    <t>I154469</t>
  </si>
  <si>
    <t>I172458</t>
  </si>
  <si>
    <t>I297270</t>
  </si>
  <si>
    <t>I153930</t>
  </si>
  <si>
    <t>I282854</t>
  </si>
  <si>
    <t>I869144</t>
  </si>
  <si>
    <t>I283443</t>
  </si>
  <si>
    <t>I193271</t>
  </si>
  <si>
    <t>I985478</t>
  </si>
  <si>
    <t>I200392</t>
  </si>
  <si>
    <t>I256691</t>
  </si>
  <si>
    <t>I796162</t>
  </si>
  <si>
    <t>I224371</t>
  </si>
  <si>
    <t>I215998</t>
  </si>
  <si>
    <t>I338966</t>
  </si>
  <si>
    <t>I293215</t>
  </si>
  <si>
    <t>I149688</t>
  </si>
  <si>
    <t>I109649</t>
  </si>
  <si>
    <t>I299820</t>
  </si>
  <si>
    <t>I157775</t>
  </si>
  <si>
    <t>I317140</t>
  </si>
  <si>
    <t>I147334</t>
  </si>
  <si>
    <t>I278121</t>
  </si>
  <si>
    <t>I134452</t>
  </si>
  <si>
    <t>I320846</t>
  </si>
  <si>
    <t>I740676</t>
  </si>
  <si>
    <t>I142331</t>
  </si>
  <si>
    <t>I222983</t>
  </si>
  <si>
    <t>I164665</t>
  </si>
  <si>
    <t>I133387</t>
  </si>
  <si>
    <t>I276763</t>
  </si>
  <si>
    <t>I273890</t>
  </si>
  <si>
    <t>I774221</t>
  </si>
  <si>
    <t>I202171</t>
  </si>
  <si>
    <t>I219780</t>
  </si>
  <si>
    <t>I160221</t>
  </si>
  <si>
    <t>I106691</t>
  </si>
  <si>
    <t>I129886</t>
  </si>
  <si>
    <t>I745394</t>
  </si>
  <si>
    <t>I157056</t>
  </si>
  <si>
    <t>I304531</t>
  </si>
  <si>
    <t>I762439</t>
  </si>
  <si>
    <t>I300972</t>
  </si>
  <si>
    <t>I151588</t>
  </si>
  <si>
    <t>I657069</t>
  </si>
  <si>
    <t>I122655</t>
  </si>
  <si>
    <t>I236914</t>
  </si>
  <si>
    <t>I247471</t>
  </si>
  <si>
    <t>I362306</t>
  </si>
  <si>
    <t>I215279</t>
  </si>
  <si>
    <t>I216061</t>
  </si>
  <si>
    <t>I246375</t>
  </si>
  <si>
    <t>I103596</t>
  </si>
  <si>
    <t>I259878</t>
  </si>
  <si>
    <t>I206422</t>
  </si>
  <si>
    <t>I201704</t>
  </si>
  <si>
    <t>I168037</t>
  </si>
  <si>
    <t>I307534</t>
  </si>
  <si>
    <t>I259196</t>
  </si>
  <si>
    <t>I141241</t>
  </si>
  <si>
    <t>I289973</t>
  </si>
  <si>
    <t>I147203</t>
  </si>
  <si>
    <t>I323788</t>
  </si>
  <si>
    <t>I285454</t>
  </si>
  <si>
    <t>I288152</t>
  </si>
  <si>
    <t>I134126</t>
  </si>
  <si>
    <t>I311052</t>
  </si>
  <si>
    <t>I176469</t>
  </si>
  <si>
    <t>I167993</t>
  </si>
  <si>
    <t>I222086</t>
  </si>
  <si>
    <t>I164597</t>
  </si>
  <si>
    <t>I184307</t>
  </si>
  <si>
    <t>I289905</t>
  </si>
  <si>
    <t>I416544</t>
  </si>
  <si>
    <t>I601026</t>
  </si>
  <si>
    <t>I257890</t>
  </si>
  <si>
    <t>I260028</t>
  </si>
  <si>
    <t>I170160</t>
  </si>
  <si>
    <t>I624164</t>
  </si>
  <si>
    <t>I143353</t>
  </si>
  <si>
    <t>I278401</t>
  </si>
  <si>
    <t>I402966</t>
  </si>
  <si>
    <t>I244241</t>
  </si>
  <si>
    <t>I179048</t>
  </si>
  <si>
    <t>I165202</t>
  </si>
  <si>
    <t>I328321</t>
  </si>
  <si>
    <t>I417106</t>
  </si>
  <si>
    <t>I248153</t>
  </si>
  <si>
    <t>I112270</t>
  </si>
  <si>
    <t>I318831</t>
  </si>
  <si>
    <t>I258322</t>
  </si>
  <si>
    <t>I334246</t>
  </si>
  <si>
    <t>I198233</t>
  </si>
  <si>
    <t>I310819</t>
  </si>
  <si>
    <t>I409288</t>
  </si>
  <si>
    <t>I131054</t>
  </si>
  <si>
    <t>I149521</t>
  </si>
  <si>
    <t>I156233</t>
  </si>
  <si>
    <t>I295784</t>
  </si>
  <si>
    <t>I255381</t>
  </si>
  <si>
    <t>I337719</t>
  </si>
  <si>
    <t>I220863</t>
  </si>
  <si>
    <t>I530401</t>
  </si>
  <si>
    <t>I219555</t>
  </si>
  <si>
    <t>I316629</t>
  </si>
  <si>
    <t>I795251</t>
  </si>
  <si>
    <t>FIND Function</t>
  </si>
  <si>
    <t>LEN Function</t>
  </si>
  <si>
    <t>Sr. No.</t>
  </si>
  <si>
    <t>First Name</t>
  </si>
  <si>
    <t>Last Name</t>
  </si>
  <si>
    <t>Full Name</t>
  </si>
  <si>
    <t>Alex</t>
  </si>
  <si>
    <t>Don</t>
  </si>
  <si>
    <t>Anita</t>
  </si>
  <si>
    <t>Beesly</t>
  </si>
  <si>
    <t>Rahul</t>
  </si>
  <si>
    <t>Kapoor</t>
  </si>
  <si>
    <t>Pankaj</t>
  </si>
  <si>
    <t>Patel</t>
  </si>
  <si>
    <t>Josh</t>
  </si>
  <si>
    <t>Maxwell</t>
  </si>
  <si>
    <t>Rajesh</t>
  </si>
  <si>
    <t>Patil</t>
  </si>
  <si>
    <t>Ava</t>
  </si>
  <si>
    <t>Liam</t>
  </si>
  <si>
    <t>Sofia</t>
  </si>
  <si>
    <t>Jackson</t>
  </si>
  <si>
    <t>Red</t>
  </si>
  <si>
    <t>Yellow</t>
  </si>
  <si>
    <t>Green</t>
  </si>
  <si>
    <t>Cost</t>
  </si>
  <si>
    <t>Number</t>
  </si>
  <si>
    <t>Decimal Number</t>
  </si>
  <si>
    <t>Date</t>
  </si>
  <si>
    <t>Time</t>
  </si>
  <si>
    <t>Percentage</t>
  </si>
  <si>
    <r>
      <t>Start Date</t>
    </r>
    <r>
      <rPr>
        <sz val="11"/>
        <color rgb="FF000000"/>
        <rFont val="Calibri"/>
        <family val="2"/>
        <scheme val="minor"/>
      </rPr>
      <t>​</t>
    </r>
  </si>
  <si>
    <r>
      <t>End Date</t>
    </r>
    <r>
      <rPr>
        <sz val="11"/>
        <color rgb="FF000000"/>
        <rFont val="Calibri"/>
        <family val="2"/>
        <scheme val="minor"/>
      </rPr>
      <t>​</t>
    </r>
  </si>
  <si>
    <t>Days</t>
  </si>
  <si>
    <t>Product</t>
  </si>
  <si>
    <t>Price</t>
  </si>
  <si>
    <t>Apple</t>
  </si>
  <si>
    <t>To find the price of Orange</t>
  </si>
  <si>
    <t>Banana</t>
  </si>
  <si>
    <t>Orange</t>
  </si>
  <si>
    <t>Grapes</t>
  </si>
  <si>
    <t>Pineapple</t>
  </si>
  <si>
    <t>Student</t>
  </si>
  <si>
    <t>Alice</t>
  </si>
  <si>
    <t>Find the test score for "Bob" in Test2</t>
  </si>
  <si>
    <t>Bob</t>
  </si>
  <si>
    <t>Carol</t>
  </si>
  <si>
    <t>David</t>
  </si>
  <si>
    <t>Reciprocal of Age</t>
  </si>
  <si>
    <t>NA</t>
  </si>
  <si>
    <t>D</t>
  </si>
  <si>
    <t>Name</t>
  </si>
  <si>
    <t>Accountancy</t>
  </si>
  <si>
    <t>English</t>
  </si>
  <si>
    <t>Maths</t>
  </si>
  <si>
    <t>Economics</t>
  </si>
  <si>
    <t>Business Studies</t>
  </si>
  <si>
    <t>Total</t>
  </si>
  <si>
    <t>Average</t>
  </si>
  <si>
    <t>Grade</t>
  </si>
  <si>
    <t>Result</t>
  </si>
  <si>
    <t>Akhilesh</t>
  </si>
  <si>
    <t>Ruchi</t>
  </si>
  <si>
    <t>Bhawna</t>
  </si>
  <si>
    <t>Isha</t>
  </si>
  <si>
    <t>Chetan</t>
  </si>
  <si>
    <t>Neeti</t>
  </si>
  <si>
    <t>Chanchal</t>
  </si>
  <si>
    <t>Preeti</t>
  </si>
  <si>
    <t>Richa</t>
  </si>
  <si>
    <t>Manish</t>
  </si>
  <si>
    <t>Karun</t>
  </si>
  <si>
    <t>Madhur</t>
  </si>
  <si>
    <t>Nitesh</t>
  </si>
  <si>
    <t>Suresh</t>
  </si>
  <si>
    <t>Tina</t>
  </si>
  <si>
    <t>Pooja</t>
  </si>
  <si>
    <t>Sunny</t>
  </si>
  <si>
    <t>Nancy</t>
  </si>
  <si>
    <t>Komal</t>
  </si>
  <si>
    <t>Vipul</t>
  </si>
  <si>
    <t>Meena</t>
  </si>
  <si>
    <t>Diskha</t>
  </si>
  <si>
    <t>Deepak</t>
  </si>
  <si>
    <t>Chinki</t>
  </si>
  <si>
    <t>Chhavi</t>
  </si>
  <si>
    <t>Manisha</t>
  </si>
  <si>
    <t>Priya</t>
  </si>
  <si>
    <t>Seema</t>
  </si>
  <si>
    <t>Suman</t>
  </si>
  <si>
    <t>Bablu</t>
  </si>
  <si>
    <t>Amandeep</t>
  </si>
  <si>
    <t>Ashok Kumar</t>
  </si>
  <si>
    <t>Shashi</t>
  </si>
  <si>
    <t>Neelam</t>
  </si>
  <si>
    <t>Kavita</t>
  </si>
  <si>
    <t>Rupesh</t>
  </si>
  <si>
    <t>Pankhuri</t>
  </si>
  <si>
    <t>Amit</t>
  </si>
  <si>
    <t>Manoj</t>
  </si>
  <si>
    <t>Praveen</t>
  </si>
  <si>
    <t>Karan</t>
  </si>
  <si>
    <t>Raman</t>
  </si>
  <si>
    <t>Naresh Kumar</t>
  </si>
  <si>
    <t>Jhanvi Sehdev</t>
  </si>
  <si>
    <t>Jyoti Sharma</t>
  </si>
  <si>
    <t>Shubhra Prashar</t>
  </si>
  <si>
    <t>Sarang Karwal</t>
  </si>
  <si>
    <t>Abhinandan Kashyap</t>
  </si>
  <si>
    <t>Manoj Khanna</t>
  </si>
  <si>
    <t>Simrat Sehdev</t>
  </si>
  <si>
    <t>Kshitiz Verma</t>
  </si>
  <si>
    <t>Anju Bhandari</t>
  </si>
  <si>
    <t>Gaurav Arora</t>
  </si>
  <si>
    <t>Jyoti Soni</t>
  </si>
  <si>
    <t>Vicky Vishisht</t>
  </si>
  <si>
    <t>Sahil Arora</t>
  </si>
  <si>
    <t>Harpreet Kaur</t>
  </si>
  <si>
    <t>Bulbul Diwedi</t>
  </si>
  <si>
    <t>Amandeep Singh</t>
  </si>
  <si>
    <t>Balbir Gurjit</t>
  </si>
  <si>
    <t>Yogesh Sahgal</t>
  </si>
  <si>
    <t>Harvinder Kaur</t>
  </si>
  <si>
    <t>Bunty Singh</t>
  </si>
  <si>
    <t>Gifty Verma</t>
  </si>
  <si>
    <t>Kanan Mehta</t>
  </si>
  <si>
    <t>Amarjeet Prashar</t>
  </si>
  <si>
    <t>Kusum Aggarwal</t>
  </si>
  <si>
    <t>Mamta Bajaj</t>
  </si>
  <si>
    <t>Kanchan Diwedi</t>
  </si>
  <si>
    <t>Ashwani Diwedi</t>
  </si>
  <si>
    <t>Kajal Yadav</t>
  </si>
  <si>
    <t>Madal Lal</t>
  </si>
  <si>
    <t>Narinder Tandon</t>
  </si>
  <si>
    <t>Kasim Ansari</t>
  </si>
  <si>
    <t>Avadhesh Kumar Singh</t>
  </si>
  <si>
    <t>Shailja Arora</t>
  </si>
  <si>
    <t>Nisha Bagga</t>
  </si>
  <si>
    <t>Akshay Verma</t>
  </si>
  <si>
    <t>Surinder Verma</t>
  </si>
  <si>
    <t>Ankita Prateek Sehdev</t>
  </si>
  <si>
    <t>Bal Mukand</t>
  </si>
  <si>
    <t>Adbhut Gupta</t>
  </si>
  <si>
    <t>Meenakshi Aggarwal</t>
  </si>
  <si>
    <t>Prabhjot Gogna</t>
  </si>
  <si>
    <t>Naresh Verma</t>
  </si>
  <si>
    <t>Manisha Grover</t>
  </si>
  <si>
    <t>Chhaya Dadhwal</t>
  </si>
  <si>
    <t>Rachit Gambhir</t>
  </si>
  <si>
    <t>Himanshu Diwedi</t>
  </si>
  <si>
    <t>Dimple Rajiwal</t>
  </si>
  <si>
    <t>Rahul Diwedi</t>
  </si>
  <si>
    <t>Jyoti Mainh</t>
  </si>
  <si>
    <t>Pooja Ghalawat</t>
  </si>
  <si>
    <t>Anu Verma</t>
  </si>
  <si>
    <t>Raghuveer Tandon</t>
  </si>
  <si>
    <t>Raman Kanda</t>
  </si>
  <si>
    <t>Yogesh Verma</t>
  </si>
  <si>
    <t>Nisha Davinder Verma</t>
  </si>
  <si>
    <t>Anil Verma</t>
  </si>
  <si>
    <t>Devinder Kaur</t>
  </si>
  <si>
    <t>Neharika Vasudev</t>
  </si>
  <si>
    <t>Indu Verma</t>
  </si>
  <si>
    <t>Kulvinder Singh</t>
  </si>
  <si>
    <t>Vishav Sehajpal</t>
  </si>
  <si>
    <t>Nitin Arora</t>
  </si>
  <si>
    <t>Asha Kanda</t>
  </si>
  <si>
    <t>Sonia Verma</t>
  </si>
  <si>
    <t>Sharry Singh</t>
  </si>
  <si>
    <t>Subhash Bansal</t>
  </si>
  <si>
    <t>Avmeet Singh</t>
  </si>
  <si>
    <t>Dikshita Goel</t>
  </si>
  <si>
    <t>Gokulesh Gupta</t>
  </si>
  <si>
    <t>Ravi Verma</t>
  </si>
  <si>
    <t>Khushboo Ayush Sharma</t>
  </si>
  <si>
    <t>Hemat Kumar</t>
  </si>
  <si>
    <t>Richa Dhawan</t>
  </si>
  <si>
    <t>Muskan Ghuman</t>
  </si>
  <si>
    <t>Jyoti Diwedi</t>
  </si>
  <si>
    <t>Anil Kumar</t>
  </si>
  <si>
    <t>Raj Kumar</t>
  </si>
  <si>
    <t>profit/Loss</t>
  </si>
  <si>
    <t>Sell cost</t>
  </si>
  <si>
    <t>Iva</t>
  </si>
  <si>
    <t>Adora</t>
  </si>
  <si>
    <t>Product Name</t>
  </si>
  <si>
    <t>Samsung Galaxy S21</t>
  </si>
  <si>
    <t>hp Laptop</t>
  </si>
  <si>
    <t>Dell XPS 15 Laptop</t>
  </si>
  <si>
    <t>Microsoft Surface Pro 7</t>
  </si>
  <si>
    <t>ASUS ZenBook</t>
  </si>
  <si>
    <t>Region</t>
  </si>
  <si>
    <t>North</t>
  </si>
  <si>
    <t>South</t>
  </si>
  <si>
    <t>West</t>
  </si>
  <si>
    <t>Sales</t>
  </si>
  <si>
    <t>Quantity Sold</t>
  </si>
  <si>
    <t>Laptop</t>
  </si>
  <si>
    <t>Mouse</t>
  </si>
  <si>
    <t>Keyboard</t>
  </si>
  <si>
    <t>Monitor</t>
  </si>
  <si>
    <t>Printer</t>
  </si>
  <si>
    <r>
      <t>Tasks</t>
    </r>
    <r>
      <rPr>
        <sz val="11"/>
        <color theme="1"/>
        <rFont val="Calibri"/>
        <family val="2"/>
        <scheme val="minor"/>
      </rPr>
      <t>:</t>
    </r>
  </si>
  <si>
    <r>
      <t>1. SUM</t>
    </r>
    <r>
      <rPr>
        <sz val="11"/>
        <color theme="1"/>
        <rFont val="Calibri"/>
        <family val="2"/>
        <scheme val="minor"/>
      </rPr>
      <t>: Calculate the total sales (Price * Quantity Sold) for each product.</t>
    </r>
  </si>
  <si>
    <r>
      <t>2. COUNT</t>
    </r>
    <r>
      <rPr>
        <sz val="11"/>
        <color theme="1"/>
        <rFont val="Calibri"/>
        <family val="2"/>
        <scheme val="minor"/>
      </rPr>
      <t>: Count how many different products are listed.</t>
    </r>
  </si>
  <si>
    <r>
      <t>3. AVERAGE</t>
    </r>
    <r>
      <rPr>
        <sz val="11"/>
        <color theme="1"/>
        <rFont val="Calibri"/>
        <family val="2"/>
        <scheme val="minor"/>
      </rPr>
      <t>: Find the average price of the products.</t>
    </r>
  </si>
  <si>
    <r>
      <t>4. MAX/MIN</t>
    </r>
    <r>
      <rPr>
        <sz val="11"/>
        <color theme="1"/>
        <rFont val="Calibri"/>
        <family val="2"/>
        <scheme val="minor"/>
      </rPr>
      <t>: Identify the maximum and minimum quantity sold.</t>
    </r>
  </si>
  <si>
    <r>
      <t>5. SUMIF</t>
    </r>
    <r>
      <rPr>
        <sz val="11"/>
        <color theme="1"/>
        <rFont val="Calibri"/>
        <family val="2"/>
        <scheme val="minor"/>
      </rPr>
      <t>: Calculate total sales for products that have sold more than 20 units.</t>
    </r>
  </si>
  <si>
    <t>Customer Name</t>
  </si>
  <si>
    <t>Purchase Date</t>
  </si>
  <si>
    <t>John Smith</t>
  </si>
  <si>
    <t>Sarah Brown</t>
  </si>
  <si>
    <t>Daniel Miller</t>
  </si>
  <si>
    <t>Emily Johnson</t>
  </si>
  <si>
    <t>Jessica Clark</t>
  </si>
  <si>
    <r>
      <t>1. TEXT</t>
    </r>
    <r>
      <rPr>
        <sz val="11"/>
        <color theme="1"/>
        <rFont val="Calibri"/>
        <family val="2"/>
        <scheme val="minor"/>
      </rPr>
      <t xml:space="preserve">: Extract the first name from the "Customer Name" column using the </t>
    </r>
    <r>
      <rPr>
        <b/>
        <sz val="11"/>
        <color theme="1"/>
        <rFont val="Calibri"/>
        <family val="2"/>
        <scheme val="minor"/>
      </rPr>
      <t>LEFT</t>
    </r>
    <r>
      <rPr>
        <sz val="11"/>
        <color theme="1"/>
        <rFont val="Calibri"/>
        <family val="2"/>
        <scheme val="minor"/>
      </rPr>
      <t xml:space="preserve"> function.</t>
    </r>
  </si>
  <si>
    <r>
      <t>2. CONCATENATE</t>
    </r>
    <r>
      <rPr>
        <sz val="11"/>
        <color theme="1"/>
        <rFont val="Calibri"/>
        <family val="2"/>
        <scheme val="minor"/>
      </rPr>
      <t>: Combine "Customer Name" and "Product" into a single string, separated by a dash.</t>
    </r>
  </si>
  <si>
    <r>
      <t>3. TODAY</t>
    </r>
    <r>
      <rPr>
        <sz val="11"/>
        <color theme="1"/>
        <rFont val="Calibri"/>
        <family val="2"/>
        <scheme val="minor"/>
      </rPr>
      <t xml:space="preserve">: Use the </t>
    </r>
    <r>
      <rPr>
        <b/>
        <sz val="11"/>
        <color theme="1"/>
        <rFont val="Calibri"/>
        <family val="2"/>
        <scheme val="minor"/>
      </rPr>
      <t>TODAY</t>
    </r>
    <r>
      <rPr>
        <sz val="11"/>
        <color theme="1"/>
        <rFont val="Calibri"/>
        <family val="2"/>
        <scheme val="minor"/>
      </rPr>
      <t xml:space="preserve"> function to get today’s date and calculate how many days have passed since each purchase.</t>
    </r>
  </si>
  <si>
    <r>
      <t>4. DATE</t>
    </r>
    <r>
      <rPr>
        <sz val="11"/>
        <color theme="1"/>
        <rFont val="Calibri"/>
        <family val="2"/>
        <scheme val="minor"/>
      </rPr>
      <t xml:space="preserve">: Split the Purchase Date into separate Day, Month, and Year columns using 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DATEVALUE</t>
    </r>
    <r>
      <rPr>
        <sz val="11"/>
        <color theme="1"/>
        <rFont val="Calibri"/>
        <family val="2"/>
        <scheme val="minor"/>
      </rPr>
      <t>.</t>
    </r>
  </si>
  <si>
    <r>
      <t>1. VLOOKUP</t>
    </r>
    <r>
      <rPr>
        <sz val="11"/>
        <color theme="1"/>
        <rFont val="Calibri"/>
        <family val="2"/>
        <scheme val="minor"/>
      </rPr>
      <t xml:space="preserve">: Create another table and lookup the price of each product using </t>
    </r>
    <r>
      <rPr>
        <b/>
        <sz val="11"/>
        <color theme="1"/>
        <rFont val="Calibri"/>
        <family val="2"/>
        <scheme val="minor"/>
      </rPr>
      <t>VLOOKUP</t>
    </r>
    <r>
      <rPr>
        <sz val="11"/>
        <color theme="1"/>
        <rFont val="Calibri"/>
        <family val="2"/>
        <scheme val="minor"/>
      </rPr>
      <t>.</t>
    </r>
  </si>
  <si>
    <r>
      <t>2. IF</t>
    </r>
    <r>
      <rPr>
        <sz val="11"/>
        <color theme="1"/>
        <rFont val="Calibri"/>
        <family val="2"/>
        <scheme val="minor"/>
      </rPr>
      <t>: Write a formula that checks if the product price is above $100 and returns "Expensive" or "Affordable".</t>
    </r>
  </si>
  <si>
    <r>
      <t>3. COUNTIF</t>
    </r>
    <r>
      <rPr>
        <sz val="11"/>
        <color theme="1"/>
        <rFont val="Calibri"/>
        <family val="2"/>
        <scheme val="minor"/>
      </rPr>
      <t>: Count how many products have a price greater than $50.</t>
    </r>
  </si>
  <si>
    <r>
      <t>4. IFERROR</t>
    </r>
    <r>
      <rPr>
        <sz val="11"/>
        <color theme="1"/>
        <rFont val="Calibri"/>
        <family val="2"/>
        <scheme val="minor"/>
      </rPr>
      <t xml:space="preserve">: Apply </t>
    </r>
    <r>
      <rPr>
        <b/>
        <sz val="11"/>
        <color theme="1"/>
        <rFont val="Calibri"/>
        <family val="2"/>
        <scheme val="minor"/>
      </rPr>
      <t>IFERROR</t>
    </r>
    <r>
      <rPr>
        <sz val="11"/>
        <color theme="1"/>
        <rFont val="Calibri"/>
        <family val="2"/>
        <scheme val="minor"/>
      </rPr>
      <t xml:space="preserve"> to handle errors in a VLOOKUP formula.</t>
    </r>
  </si>
  <si>
    <t>Email Address</t>
  </si>
  <si>
    <t>Amount Spent</t>
  </si>
  <si>
    <t>Date of Purchase</t>
  </si>
  <si>
    <t>john@example.com</t>
  </si>
  <si>
    <t>sarah@example.com</t>
  </si>
  <si>
    <t>john.smith@gmail.com</t>
  </si>
  <si>
    <t>daniel@example.com</t>
  </si>
  <si>
    <t>NULL</t>
  </si>
  <si>
    <t>jessica@example.com</t>
  </si>
  <si>
    <r>
      <t>Remove Duplicates</t>
    </r>
    <r>
      <rPr>
        <sz val="11"/>
        <color theme="1"/>
        <rFont val="Calibri"/>
        <family val="2"/>
        <scheme val="minor"/>
      </rPr>
      <t>: Identify and remove duplicate rows based on the "Customer Name" and "Email Address" columns.</t>
    </r>
  </si>
  <si>
    <r>
      <t>Find Blanks</t>
    </r>
    <r>
      <rPr>
        <sz val="11"/>
        <color theme="1"/>
        <rFont val="Calibri"/>
        <family val="2"/>
        <scheme val="minor"/>
      </rPr>
      <t>: Highlight rows with missing values in the "Amount Spent" and "Email Address" columns.</t>
    </r>
  </si>
  <si>
    <r>
      <t>TRIM</t>
    </r>
    <r>
      <rPr>
        <sz val="11"/>
        <color theme="1"/>
        <rFont val="Calibri"/>
        <family val="2"/>
        <scheme val="minor"/>
      </rPr>
      <t xml:space="preserve">: Use </t>
    </r>
    <r>
      <rPr>
        <b/>
        <sz val="11"/>
        <color theme="1"/>
        <rFont val="Calibri"/>
        <family val="2"/>
        <scheme val="minor"/>
      </rPr>
      <t>TRIM</t>
    </r>
    <r>
      <rPr>
        <sz val="11"/>
        <color theme="1"/>
        <rFont val="Calibri"/>
        <family val="2"/>
        <scheme val="minor"/>
      </rPr>
      <t xml:space="preserve"> to remove any extra spaces in the "Customer Name" column.</t>
    </r>
  </si>
  <si>
    <r>
      <t>Text to Columns</t>
    </r>
    <r>
      <rPr>
        <sz val="11"/>
        <color theme="1"/>
        <rFont val="Calibri"/>
        <family val="2"/>
        <scheme val="minor"/>
      </rPr>
      <t>: Split "Customer Name" into separate First and Last Name columns.</t>
    </r>
  </si>
  <si>
    <r>
      <t xml:space="preserve">1. Apply </t>
    </r>
    <r>
      <rPr>
        <b/>
        <sz val="11"/>
        <color theme="1"/>
        <rFont val="Calibri"/>
        <family val="2"/>
        <scheme val="minor"/>
      </rPr>
      <t>Conditional Formatting</t>
    </r>
    <r>
      <rPr>
        <sz val="11"/>
        <color theme="1"/>
        <rFont val="Calibri"/>
        <family val="2"/>
        <scheme val="minor"/>
      </rPr>
      <t xml:space="preserve"> to highlight sales that are greater than 1000.</t>
    </r>
  </si>
  <si>
    <r>
      <t xml:space="preserve">2. Create a </t>
    </r>
    <r>
      <rPr>
        <b/>
        <sz val="11"/>
        <color theme="1"/>
        <rFont val="Calibri"/>
        <family val="2"/>
        <scheme val="minor"/>
      </rPr>
      <t>Data Bar</t>
    </r>
    <r>
      <rPr>
        <sz val="11"/>
        <color theme="1"/>
        <rFont val="Calibri"/>
        <family val="2"/>
        <scheme val="minor"/>
      </rPr>
      <t xml:space="preserve"> visualization for the "Sales" column to visually compare sales figures.</t>
    </r>
  </si>
  <si>
    <r>
      <t xml:space="preserve">3. Use </t>
    </r>
    <r>
      <rPr>
        <b/>
        <sz val="11"/>
        <color theme="1"/>
        <rFont val="Calibri"/>
        <family val="2"/>
        <scheme val="minor"/>
      </rPr>
      <t>Color Scales</t>
    </r>
    <r>
      <rPr>
        <sz val="11"/>
        <color theme="1"/>
        <rFont val="Calibri"/>
        <family val="2"/>
        <scheme val="minor"/>
      </rPr>
      <t xml:space="preserve"> to display low-to-high sales using a color gradient.</t>
    </r>
  </si>
  <si>
    <r>
      <t xml:space="preserve">4. Create an </t>
    </r>
    <r>
      <rPr>
        <b/>
        <sz val="11"/>
        <color theme="1"/>
        <rFont val="Calibri"/>
        <family val="2"/>
        <scheme val="minor"/>
      </rPr>
      <t>Icon Set</t>
    </r>
    <r>
      <rPr>
        <sz val="11"/>
        <color theme="1"/>
        <rFont val="Calibri"/>
        <family val="2"/>
        <scheme val="minor"/>
      </rPr>
      <t xml:space="preserve"> to categorize sales performance (e.g., green arrow for high sales, yellow for moderate, and red for low).</t>
    </r>
  </si>
  <si>
    <t>Salesperson</t>
  </si>
  <si>
    <t>East</t>
  </si>
  <si>
    <r>
      <t>1. Sort</t>
    </r>
    <r>
      <rPr>
        <sz val="11"/>
        <color theme="1"/>
        <rFont val="Calibri"/>
        <family val="2"/>
        <scheme val="minor"/>
      </rPr>
      <t xml:space="preserve"> the data alphabetically by "Region" and then by "Salesperson".</t>
    </r>
  </si>
  <si>
    <r>
      <t>2. Filter</t>
    </r>
    <r>
      <rPr>
        <sz val="11"/>
        <color theme="1"/>
        <rFont val="Calibri"/>
        <family val="2"/>
        <scheme val="minor"/>
      </rPr>
      <t xml:space="preserve"> to show only sales in the "North" region.</t>
    </r>
  </si>
  <si>
    <r>
      <t xml:space="preserve">3. Add a </t>
    </r>
    <r>
      <rPr>
        <b/>
        <sz val="11"/>
        <color theme="1"/>
        <rFont val="Calibri"/>
        <family val="2"/>
        <scheme val="minor"/>
      </rPr>
      <t>Subtotal</t>
    </r>
    <r>
      <rPr>
        <sz val="11"/>
        <color theme="1"/>
        <rFont val="Calibri"/>
        <family val="2"/>
        <scheme val="minor"/>
      </rPr>
      <t xml:space="preserve"> for sales by region.</t>
    </r>
  </si>
  <si>
    <r>
      <t>4. Sort by Sales</t>
    </r>
    <r>
      <rPr>
        <sz val="11"/>
        <color theme="1"/>
        <rFont val="Calibri"/>
        <family val="2"/>
        <scheme val="minor"/>
      </rPr>
      <t xml:space="preserve"> from highest to lowest to see which salesperson has the highest sales.</t>
    </r>
  </si>
  <si>
    <r>
      <t>5. Advanced Filter</t>
    </r>
    <r>
      <rPr>
        <sz val="11"/>
        <color theme="1"/>
        <rFont val="Calibri"/>
        <family val="2"/>
        <scheme val="minor"/>
      </rPr>
      <t>: Filter products with sales greater than $500 and in the "North" region.</t>
    </r>
  </si>
  <si>
    <r>
      <t xml:space="preserve">7. </t>
    </r>
    <r>
      <rPr>
        <b/>
        <sz val="11"/>
        <color theme="1"/>
        <rFont val="Calibri"/>
        <family val="2"/>
        <scheme val="minor"/>
      </rPr>
      <t>Sorting, Filtering, and Subtotals</t>
    </r>
  </si>
  <si>
    <t>6. Data Visualization with Conditional Formatting</t>
  </si>
  <si>
    <t>5. Data Cleaning Techniques</t>
  </si>
  <si>
    <r>
      <t xml:space="preserve">4. </t>
    </r>
    <r>
      <rPr>
        <b/>
        <sz val="11"/>
        <color theme="1"/>
        <rFont val="Calibri"/>
        <family val="2"/>
        <scheme val="minor"/>
      </rPr>
      <t>Lookup and Conditional Functions</t>
    </r>
  </si>
  <si>
    <r>
      <t xml:space="preserve">3. </t>
    </r>
    <r>
      <rPr>
        <b/>
        <sz val="11"/>
        <color theme="1"/>
        <rFont val="Calibri"/>
        <family val="2"/>
        <scheme val="minor"/>
      </rPr>
      <t>Text Functions and Dates</t>
    </r>
  </si>
  <si>
    <r>
      <t xml:space="preserve">2. </t>
    </r>
    <r>
      <rPr>
        <b/>
        <sz val="11"/>
        <color theme="1"/>
        <rFont val="Calibri"/>
        <family val="2"/>
        <scheme val="minor"/>
      </rPr>
      <t>Basic Functions (SUM, COUNT, AVERAGE, etc.)</t>
    </r>
  </si>
  <si>
    <t>1. Introduction to Excel Interface</t>
  </si>
  <si>
    <r>
      <t>Data</t>
    </r>
    <r>
      <rPr>
        <sz val="11"/>
        <color theme="1"/>
        <rFont val="Calibri"/>
        <family val="2"/>
        <scheme val="minor"/>
      </rPr>
      <t>:</t>
    </r>
  </si>
  <si>
    <t>Create a blank Excel worksheet and get familiar with the interface.</t>
  </si>
  <si>
    <r>
      <t xml:space="preserve">Navigate the </t>
    </r>
    <r>
      <rPr>
        <b/>
        <sz val="11"/>
        <color theme="1"/>
        <rFont val="Calibri"/>
        <family val="2"/>
        <scheme val="minor"/>
      </rPr>
      <t>Ribbon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Quick Access Toolbar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Formula Bar</t>
    </r>
    <r>
      <rPr>
        <sz val="11"/>
        <color theme="1"/>
        <rFont val="Calibri"/>
        <family val="2"/>
        <scheme val="minor"/>
      </rPr>
      <t>.</t>
    </r>
  </si>
  <si>
    <r>
      <t xml:space="preserve">Rename </t>
    </r>
    <r>
      <rPr>
        <b/>
        <sz val="11"/>
        <color theme="1"/>
        <rFont val="Calibri"/>
        <family val="2"/>
        <scheme val="minor"/>
      </rPr>
      <t>Sheet1</t>
    </r>
    <r>
      <rPr>
        <sz val="11"/>
        <color theme="1"/>
        <rFont val="Calibri"/>
        <family val="2"/>
        <scheme val="minor"/>
      </rPr>
      <t xml:space="preserve"> to "Sales Data".</t>
    </r>
  </si>
  <si>
    <r>
      <t xml:space="preserve">Use the </t>
    </r>
    <r>
      <rPr>
        <b/>
        <sz val="11"/>
        <color theme="1"/>
        <rFont val="Calibri"/>
        <family val="2"/>
        <scheme val="minor"/>
      </rPr>
      <t>Save As</t>
    </r>
    <r>
      <rPr>
        <sz val="11"/>
        <color theme="1"/>
        <rFont val="Calibri"/>
        <family val="2"/>
        <scheme val="minor"/>
      </rPr>
      <t xml:space="preserve"> option to save your workbook.</t>
    </r>
  </si>
  <si>
    <t>Jan</t>
  </si>
  <si>
    <t>Feb</t>
  </si>
  <si>
    <t>Mar</t>
  </si>
  <si>
    <t>Apr</t>
  </si>
  <si>
    <t>May</t>
  </si>
  <si>
    <t>Jun</t>
  </si>
  <si>
    <t>I have an apple</t>
  </si>
  <si>
    <t>Fruit</t>
  </si>
  <si>
    <t xml:space="preserve">Jan </t>
  </si>
  <si>
    <t>M1</t>
  </si>
  <si>
    <t>M2</t>
  </si>
  <si>
    <t>M3</t>
  </si>
  <si>
    <t>M4</t>
  </si>
  <si>
    <t>Sales Total</t>
  </si>
  <si>
    <t>Grand Total</t>
  </si>
  <si>
    <t>Row Labels</t>
  </si>
  <si>
    <t>Sum of Sales</t>
  </si>
  <si>
    <t>John</t>
  </si>
  <si>
    <t>Smith</t>
  </si>
  <si>
    <t>Daniel</t>
  </si>
  <si>
    <t>Miller</t>
  </si>
  <si>
    <t>Emily</t>
  </si>
  <si>
    <t>Johnson</t>
  </si>
  <si>
    <t>Jessica</t>
  </si>
  <si>
    <t>Clark</t>
  </si>
  <si>
    <t>A</t>
  </si>
  <si>
    <t>C</t>
  </si>
  <si>
    <t>Balance</t>
  </si>
  <si>
    <t>debt</t>
  </si>
  <si>
    <t>credit</t>
  </si>
  <si>
    <t>Debit_va</t>
  </si>
  <si>
    <t>Acounting</t>
  </si>
  <si>
    <t>Poomathi</t>
  </si>
  <si>
    <t>Thangarasu</t>
  </si>
  <si>
    <t>Day</t>
  </si>
  <si>
    <t>Month</t>
  </si>
  <si>
    <t>Year</t>
  </si>
  <si>
    <t>Young_Yes_NO</t>
  </si>
  <si>
    <t>Lower</t>
  </si>
  <si>
    <t>Upper</t>
  </si>
  <si>
    <t>Proper</t>
  </si>
  <si>
    <t xml:space="preserve">Apple iPhone 12                           </t>
  </si>
  <si>
    <t>Day1</t>
  </si>
  <si>
    <t>Day2</t>
  </si>
  <si>
    <t>Day1 Total</t>
  </si>
  <si>
    <t>Day2 Total</t>
  </si>
  <si>
    <t>Average of Sales</t>
  </si>
  <si>
    <t>North2</t>
  </si>
  <si>
    <t>South3</t>
  </si>
  <si>
    <t>Margin</t>
  </si>
  <si>
    <t>vfnkblk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</si>
</sst>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₹&quot;\ #,##0.00;&quot;₹&quot;\ \-#,##0.0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₹&quot;\ #,##0.00"/>
    <numFmt numFmtId="167" formatCode="[$-10409]h\.mm\.ss\ AM/PM;@"/>
    <numFmt numFmtId="169" formatCode="mmm"/>
    <numFmt numFmtId="171" formatCode="_ * #,##0.0_ ;_ * \-#,##0.0_ ;_ * &quot;-&quot;??_ ;_ @_ "/>
    <numFmt numFmtId="172" formatCode="_ * #,##0_ ;_ * \-#,##0_ ;_ * &quot;-&quot;??_ ;_ @_ "/>
    <numFmt numFmtId="179" formatCode="#,##0.000"/>
    <numFmt numFmtId="183" formatCode="[&gt;=1000000]&quot;₹&quot;#,##0.00,,&quot;M&quot;;[&lt;1000000]\ &quot;₹&quot;#,##0.000,&quot;K&quot;;General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8"/>
      <name val="Calibri"/>
      <family val="2"/>
      <scheme val="minor"/>
    </font>
    <font>
      <i/>
      <u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 wrapText="1"/>
    </xf>
    <xf numFmtId="164" fontId="19" fillId="0" borderId="0" xfId="0" applyNumberFormat="1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3" fillId="35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35" borderId="11" xfId="0" applyFont="1" applyFill="1" applyBorder="1" applyAlignment="1">
      <alignment horizontal="center" vertical="center" wrapText="1"/>
    </xf>
    <xf numFmtId="0" fontId="23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horizontal="left" vertical="center" indent="1"/>
    </xf>
    <xf numFmtId="14" fontId="0" fillId="0" borderId="0" xfId="0" applyNumberFormat="1"/>
    <xf numFmtId="0" fontId="0" fillId="0" borderId="0" xfId="0" applyAlignment="1">
      <alignment horizontal="left" vertical="center" indent="1"/>
    </xf>
    <xf numFmtId="0" fontId="24" fillId="0" borderId="0" xfId="0" applyFont="1" applyAlignment="1">
      <alignment vertical="center"/>
    </xf>
    <xf numFmtId="0" fontId="16" fillId="35" borderId="0" xfId="0" applyFont="1" applyFill="1"/>
    <xf numFmtId="49" fontId="16" fillId="0" borderId="0" xfId="0" applyNumberFormat="1" applyFont="1"/>
    <xf numFmtId="0" fontId="26" fillId="36" borderId="0" xfId="0" applyFont="1" applyFill="1" applyAlignment="1">
      <alignment horizontal="center" vertical="center"/>
    </xf>
    <xf numFmtId="0" fontId="27" fillId="0" borderId="0" xfId="0" applyFont="1" applyAlignment="1">
      <alignment horizontal="left"/>
    </xf>
    <xf numFmtId="0" fontId="28" fillId="37" borderId="0" xfId="0" applyFont="1" applyFill="1" applyAlignment="1">
      <alignment horizontal="center"/>
    </xf>
    <xf numFmtId="7" fontId="0" fillId="0" borderId="0" xfId="0" applyNumberFormat="1"/>
    <xf numFmtId="7" fontId="0" fillId="0" borderId="0" xfId="0" applyNumberFormat="1" applyAlignment="1">
      <alignment horizontal="center"/>
    </xf>
    <xf numFmtId="167" fontId="0" fillId="0" borderId="0" xfId="42" applyNumberFormat="1" applyFont="1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3" fillId="33" borderId="0" xfId="0" applyFont="1" applyFill="1" applyAlignment="1">
      <alignment horizontal="center"/>
    </xf>
    <xf numFmtId="0" fontId="29" fillId="34" borderId="0" xfId="0" applyFont="1" applyFill="1" applyAlignment="1">
      <alignment horizontal="right"/>
    </xf>
    <xf numFmtId="0" fontId="30" fillId="35" borderId="0" xfId="0" applyFont="1" applyFill="1" applyAlignment="1">
      <alignment vertical="center"/>
    </xf>
    <xf numFmtId="1" fontId="0" fillId="0" borderId="0" xfId="43" applyNumberFormat="1" applyFont="1"/>
    <xf numFmtId="179" fontId="0" fillId="0" borderId="0" xfId="42" applyNumberFormat="1" applyFont="1"/>
    <xf numFmtId="14" fontId="0" fillId="0" borderId="0" xfId="42" applyNumberFormat="1" applyFont="1"/>
    <xf numFmtId="10" fontId="0" fillId="0" borderId="0" xfId="44" applyNumberFormat="1" applyFont="1"/>
    <xf numFmtId="183" fontId="0" fillId="0" borderId="0" xfId="42" applyNumberFormat="1" applyFont="1"/>
    <xf numFmtId="172" fontId="0" fillId="0" borderId="0" xfId="42" applyNumberFormat="1" applyFont="1" applyAlignment="1">
      <alignment horizontal="center" vertical="center"/>
    </xf>
    <xf numFmtId="14" fontId="0" fillId="0" borderId="0" xfId="42" applyNumberFormat="1" applyFont="1" applyAlignment="1">
      <alignment horizontal="center" vertical="center"/>
    </xf>
    <xf numFmtId="172" fontId="22" fillId="0" borderId="0" xfId="42" applyNumberFormat="1" applyFont="1" applyAlignment="1">
      <alignment horizontal="center" vertical="center" wrapText="1"/>
    </xf>
    <xf numFmtId="171" fontId="0" fillId="0" borderId="0" xfId="0" applyNumberForma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71" formatCode="_ * #,##0.0_ ;_ * \-#,##0.0_ ;_ * &quot;-&quot;??_ ;_ @_ "/>
    </dxf>
    <dxf>
      <numFmt numFmtId="35" formatCode="_ * #,##0.00_ ;_ * \-#,##0.00_ ;_ * &quot;-&quot;??_ ;_ @_ "/>
    </dxf>
    <dxf>
      <numFmt numFmtId="171" formatCode="_ * #,##0.0_ ;_ * \-#,##0.0_ ;_ * &quot;-&quot;??_ ;_ @_ "/>
    </dxf>
    <dxf>
      <numFmt numFmtId="35" formatCode="_ * #,##0.00_ ;_ * \-#,##0.00_ ;_ * &quot;-&quot;??_ ;_ @_ "/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tri GP" refreshedDate="45543.705431018519" createdVersion="8" refreshedVersion="8" minRefreshableVersion="3" recordCount="5" xr:uid="{8C0ABA2B-689D-4C30-932B-A473989CB25A}">
  <cacheSource type="worksheet">
    <worksheetSource ref="I1:J6" sheet="Subtotal"/>
  </cacheSource>
  <cacheFields count="2">
    <cacheField name="Region" numFmtId="0">
      <sharedItems count="3">
        <s v="North"/>
        <s v="South"/>
        <s v="West"/>
      </sharedItems>
    </cacheField>
    <cacheField name="Sales" numFmtId="0">
      <sharedItems containsSemiMixedTypes="0" containsString="0" containsNumber="1" containsInteger="1" minValue="4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tri GP" refreshedDate="45549.587500925925" createdVersion="8" refreshedVersion="8" minRefreshableVersion="3" recordCount="5" xr:uid="{DDB5E9CE-9D57-49BD-B9C1-E77D51954904}">
  <cacheSource type="worksheet">
    <worksheetSource ref="C19:E24" sheet="Practice 2"/>
  </cacheSource>
  <cacheFields count="3">
    <cacheField name="Salesperson" numFmtId="0">
      <sharedItems/>
    </cacheField>
    <cacheField name="Product" numFmtId="0">
      <sharedItems/>
    </cacheField>
    <cacheField name="Sales" numFmtId="0">
      <sharedItems containsSemiMixedTypes="0" containsString="0" containsNumber="1" containsInteger="1" minValue="30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tri GP" refreshedDate="45640.701361574073" createdVersion="8" refreshedVersion="8" minRefreshableVersion="3" recordCount="5" xr:uid="{063C64BD-AB15-427D-875D-9C8F814A7F76}">
  <cacheSource type="worksheet">
    <worksheetSource ref="J9:K14" sheet="Subtotal"/>
  </cacheSource>
  <cacheFields count="2">
    <cacheField name="Region" numFmtId="0">
      <sharedItems count="3">
        <s v="North"/>
        <s v="South"/>
        <s v="West"/>
      </sharedItems>
    </cacheField>
    <cacheField name="Sales" numFmtId="0">
      <sharedItems containsSemiMixedTypes="0" containsString="0" containsNumber="1" containsInteger="1" minValue="4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00"/>
  </r>
  <r>
    <x v="1"/>
    <n v="750"/>
  </r>
  <r>
    <x v="0"/>
    <n v="600"/>
  </r>
  <r>
    <x v="2"/>
    <n v="450"/>
  </r>
  <r>
    <x v="1"/>
    <n v="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John Smith"/>
    <s v="Laptop"/>
    <n v="1200"/>
  </r>
  <r>
    <s v="Sarah Brown"/>
    <s v="Mouse"/>
    <n v="500"/>
  </r>
  <r>
    <s v="Daniel Miller"/>
    <s v="Monitor"/>
    <n v="800"/>
  </r>
  <r>
    <s v="Emily Johnson"/>
    <s v="Keyboard"/>
    <n v="700"/>
  </r>
  <r>
    <s v="Jessica Clark"/>
    <s v="Printer"/>
    <n v="3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00"/>
  </r>
  <r>
    <x v="1"/>
    <n v="750"/>
  </r>
  <r>
    <x v="0"/>
    <n v="600"/>
  </r>
  <r>
    <x v="2"/>
    <n v="450"/>
  </r>
  <r>
    <x v="1"/>
    <n v="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4F8E8-4981-42B4-83DA-D74EA8E7587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9:N13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es" fld="1" subtotal="average" baseField="0" baseItem="0" numFmtId="17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9754B-4E5E-48A3-A120-2E91CB0D0DF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3B7B8-6755-40A9-8C7D-6AAB2171486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6:E43" firstHeaderRow="1" firstDataRow="1" firstDataCol="0"/>
  <pivotFields count="3"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B889F-6E48-4AF8-BA79-B091DC576DF1}" name="Table1" displayName="Table1" ref="B16:G21" totalsRowShown="0">
  <autoFilter ref="B16:G21" xr:uid="{35FB889F-6E48-4AF8-BA79-B091DC576DF1}"/>
  <tableColumns count="6">
    <tableColumn id="1" xr3:uid="{522F6254-FBBF-4C27-9F6D-78E4977ABADB}" name="Region"/>
    <tableColumn id="2" xr3:uid="{E19D2CA3-C210-490D-8509-35510B8F58E6}" name="North"/>
    <tableColumn id="3" xr3:uid="{110BEC12-8BDD-4E55-B0F7-BA78E7787C4D}" name="South"/>
    <tableColumn id="4" xr3:uid="{DFC13606-E755-4827-83CF-FEC28248FEA1}" name="North2"/>
    <tableColumn id="5" xr3:uid="{6E7A6DE4-4C07-423D-9178-7516422C4471}" name="West"/>
    <tableColumn id="6" xr3:uid="{6D6EC4EB-894B-4F81-97D8-4AEB99E55166}" name="South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186E-EF66-42C8-8D3E-DA86FF972EE1}">
  <dimension ref="A1"/>
  <sheetViews>
    <sheetView workbookViewId="0">
      <selection activeCell="I22" sqref="I2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7546-B220-41A8-80CF-B75AF6E5D786}">
  <dimension ref="A1:AF16"/>
  <sheetViews>
    <sheetView topLeftCell="F1" workbookViewId="0">
      <selection activeCell="N16" sqref="N16"/>
    </sheetView>
  </sheetViews>
  <sheetFormatPr defaultRowHeight="14.4" x14ac:dyDescent="0.3"/>
  <cols>
    <col min="6" max="6" width="4.6640625" bestFit="1" customWidth="1"/>
    <col min="7" max="7" width="9.88671875" bestFit="1" customWidth="1"/>
    <col min="8" max="8" width="7.6640625" bestFit="1" customWidth="1"/>
    <col min="15" max="15" width="10.33203125" customWidth="1"/>
  </cols>
  <sheetData>
    <row r="1" spans="1:32" x14ac:dyDescent="0.3">
      <c r="A1">
        <v>309</v>
      </c>
      <c r="B1">
        <v>39</v>
      </c>
      <c r="C1">
        <f>A1+B1</f>
        <v>348</v>
      </c>
      <c r="E1">
        <f>1+1</f>
        <v>2</v>
      </c>
      <c r="J1">
        <v>1</v>
      </c>
      <c r="K1" s="24">
        <v>1</v>
      </c>
      <c r="L1">
        <v>1</v>
      </c>
      <c r="M1">
        <v>2</v>
      </c>
      <c r="O1" s="21"/>
      <c r="Q1" t="s">
        <v>262</v>
      </c>
      <c r="R1" t="s">
        <v>418</v>
      </c>
      <c r="S1" t="s">
        <v>419</v>
      </c>
      <c r="U1" t="s">
        <v>523</v>
      </c>
      <c r="V1" t="s">
        <v>524</v>
      </c>
      <c r="W1" t="s">
        <v>526</v>
      </c>
      <c r="X1" t="s">
        <v>525</v>
      </c>
      <c r="Y1" t="s">
        <v>527</v>
      </c>
    </row>
    <row r="2" spans="1:32" x14ac:dyDescent="0.3">
      <c r="A2">
        <v>320</v>
      </c>
      <c r="B2">
        <v>35</v>
      </c>
      <c r="C2">
        <f>A2+B2</f>
        <v>355</v>
      </c>
      <c r="E2">
        <f>2-1</f>
        <v>1</v>
      </c>
      <c r="J2">
        <v>2</v>
      </c>
      <c r="K2">
        <v>3</v>
      </c>
      <c r="L2">
        <v>5</v>
      </c>
      <c r="M2">
        <v>4</v>
      </c>
      <c r="N2">
        <f>SUM(J2:M2)</f>
        <v>14</v>
      </c>
      <c r="O2" s="21"/>
      <c r="U2">
        <v>2000</v>
      </c>
      <c r="V2">
        <v>320</v>
      </c>
      <c r="W2">
        <f>V2*-1</f>
        <v>-320</v>
      </c>
      <c r="X2">
        <v>1000</v>
      </c>
      <c r="Y2">
        <f>SUM(U3,X3,W3)</f>
        <v>2560</v>
      </c>
      <c r="Z2">
        <v>1</v>
      </c>
      <c r="AA2">
        <v>2</v>
      </c>
      <c r="AB2">
        <v>3</v>
      </c>
      <c r="AD2">
        <v>2</v>
      </c>
    </row>
    <row r="3" spans="1:32" x14ac:dyDescent="0.3">
      <c r="E3">
        <f>2*3</f>
        <v>6</v>
      </c>
      <c r="G3">
        <f>1+1</f>
        <v>2</v>
      </c>
      <c r="J3">
        <v>3</v>
      </c>
      <c r="K3">
        <v>5</v>
      </c>
      <c r="L3">
        <v>9</v>
      </c>
      <c r="M3">
        <v>6</v>
      </c>
      <c r="N3">
        <f t="shared" ref="N3:N14" si="0">SUM(J3:M3)</f>
        <v>23</v>
      </c>
      <c r="O3" s="21"/>
      <c r="U3">
        <f>SUM(U2,W2,X2,)</f>
        <v>2680</v>
      </c>
      <c r="V3">
        <v>120</v>
      </c>
      <c r="W3">
        <f t="shared" ref="W3:W5" si="1">V3*-1</f>
        <v>-120</v>
      </c>
      <c r="Y3">
        <f t="shared" ref="Y3:Y5" si="2">SUM(U3,W3:X3)</f>
        <v>2560</v>
      </c>
      <c r="Z3">
        <v>2</v>
      </c>
      <c r="AA3">
        <v>4</v>
      </c>
      <c r="AB3">
        <v>6</v>
      </c>
      <c r="AD3">
        <v>4</v>
      </c>
    </row>
    <row r="4" spans="1:32" x14ac:dyDescent="0.3">
      <c r="E4">
        <f>4/2</f>
        <v>2</v>
      </c>
      <c r="G4">
        <f>1-1</f>
        <v>0</v>
      </c>
      <c r="J4">
        <v>4</v>
      </c>
      <c r="K4">
        <v>7</v>
      </c>
      <c r="L4">
        <v>13</v>
      </c>
      <c r="M4">
        <v>8</v>
      </c>
      <c r="N4">
        <f t="shared" si="0"/>
        <v>32</v>
      </c>
      <c r="O4" s="21"/>
      <c r="U4">
        <f>SUM(U3,W3,X3,)</f>
        <v>2560</v>
      </c>
      <c r="V4">
        <v>280</v>
      </c>
      <c r="W4">
        <f t="shared" si="1"/>
        <v>-280</v>
      </c>
      <c r="X4">
        <v>500</v>
      </c>
      <c r="Y4">
        <f t="shared" si="2"/>
        <v>2780</v>
      </c>
      <c r="Z4">
        <v>3</v>
      </c>
      <c r="AA4">
        <v>6</v>
      </c>
      <c r="AB4">
        <v>9</v>
      </c>
      <c r="AD4">
        <v>6</v>
      </c>
    </row>
    <row r="5" spans="1:32" x14ac:dyDescent="0.3">
      <c r="G5">
        <f>1*-1</f>
        <v>-1</v>
      </c>
      <c r="J5">
        <v>5</v>
      </c>
      <c r="K5">
        <v>9</v>
      </c>
      <c r="L5">
        <v>17</v>
      </c>
      <c r="M5">
        <v>10</v>
      </c>
      <c r="N5">
        <f t="shared" si="0"/>
        <v>41</v>
      </c>
      <c r="O5" s="21"/>
      <c r="U5">
        <f>SUM(U4,W4,X4,)</f>
        <v>2780</v>
      </c>
      <c r="V5">
        <v>155</v>
      </c>
      <c r="W5">
        <f t="shared" si="1"/>
        <v>-155</v>
      </c>
      <c r="Y5">
        <f t="shared" si="2"/>
        <v>2625</v>
      </c>
      <c r="Z5">
        <v>4</v>
      </c>
      <c r="AA5">
        <v>8</v>
      </c>
      <c r="AB5">
        <v>12</v>
      </c>
      <c r="AD5">
        <v>8</v>
      </c>
    </row>
    <row r="6" spans="1:32" x14ac:dyDescent="0.3">
      <c r="G6">
        <f>1/2</f>
        <v>0.5</v>
      </c>
      <c r="J6">
        <v>6</v>
      </c>
      <c r="K6">
        <v>11</v>
      </c>
      <c r="L6">
        <v>21</v>
      </c>
      <c r="M6">
        <v>12</v>
      </c>
      <c r="N6">
        <f t="shared" si="0"/>
        <v>50</v>
      </c>
      <c r="O6" s="21"/>
      <c r="Z6">
        <v>5</v>
      </c>
      <c r="AA6">
        <v>10</v>
      </c>
      <c r="AB6">
        <v>15</v>
      </c>
      <c r="AD6">
        <v>10</v>
      </c>
    </row>
    <row r="7" spans="1:32" x14ac:dyDescent="0.3">
      <c r="G7">
        <f>SQRT(4)</f>
        <v>2</v>
      </c>
      <c r="J7">
        <v>7</v>
      </c>
      <c r="K7">
        <v>13</v>
      </c>
      <c r="L7">
        <v>25</v>
      </c>
      <c r="M7">
        <v>14</v>
      </c>
      <c r="N7">
        <f t="shared" si="0"/>
        <v>59</v>
      </c>
      <c r="O7" s="21"/>
      <c r="Z7">
        <v>6</v>
      </c>
      <c r="AA7">
        <v>12</v>
      </c>
      <c r="AB7">
        <v>18</v>
      </c>
      <c r="AD7">
        <v>12</v>
      </c>
    </row>
    <row r="8" spans="1:32" x14ac:dyDescent="0.3">
      <c r="J8">
        <v>8</v>
      </c>
      <c r="K8">
        <v>15</v>
      </c>
      <c r="L8">
        <v>29</v>
      </c>
      <c r="M8">
        <v>16</v>
      </c>
      <c r="N8">
        <f t="shared" si="0"/>
        <v>68</v>
      </c>
      <c r="O8" s="21"/>
      <c r="U8" t="s">
        <v>521</v>
      </c>
      <c r="V8">
        <v>300</v>
      </c>
      <c r="W8">
        <v>20</v>
      </c>
      <c r="X8">
        <f>V8+W8</f>
        <v>320</v>
      </c>
      <c r="Z8">
        <v>7</v>
      </c>
      <c r="AA8">
        <v>14</v>
      </c>
      <c r="AB8">
        <v>21</v>
      </c>
      <c r="AD8">
        <v>14</v>
      </c>
    </row>
    <row r="9" spans="1:32" x14ac:dyDescent="0.3">
      <c r="A9" t="s">
        <v>420</v>
      </c>
      <c r="B9">
        <v>2</v>
      </c>
      <c r="C9">
        <v>3</v>
      </c>
      <c r="D9">
        <v>1</v>
      </c>
      <c r="E9" s="4">
        <f>SUM(B9:D9)</f>
        <v>6</v>
      </c>
      <c r="J9">
        <v>10</v>
      </c>
      <c r="K9">
        <v>19</v>
      </c>
      <c r="L9">
        <v>37</v>
      </c>
      <c r="M9">
        <v>20</v>
      </c>
      <c r="N9">
        <f t="shared" si="0"/>
        <v>86</v>
      </c>
      <c r="O9" s="21"/>
      <c r="R9">
        <f t="shared" ref="R9:R10" si="3">P9+Q9</f>
        <v>0</v>
      </c>
      <c r="S9">
        <v>281</v>
      </c>
      <c r="U9" t="s">
        <v>522</v>
      </c>
      <c r="V9">
        <v>326</v>
      </c>
      <c r="W9">
        <v>-45</v>
      </c>
      <c r="X9">
        <f t="shared" ref="X9:X10" si="4">V9+W9</f>
        <v>281</v>
      </c>
      <c r="Z9">
        <v>9</v>
      </c>
      <c r="AA9">
        <v>18</v>
      </c>
      <c r="AB9">
        <v>27</v>
      </c>
      <c r="AD9">
        <v>18</v>
      </c>
    </row>
    <row r="10" spans="1:32" x14ac:dyDescent="0.3">
      <c r="A10" t="s">
        <v>256</v>
      </c>
      <c r="B10">
        <v>5</v>
      </c>
      <c r="C10">
        <v>5</v>
      </c>
      <c r="D10">
        <v>2</v>
      </c>
      <c r="E10" s="4">
        <f t="shared" ref="E10:E11" si="5">SUM(B10:D10)</f>
        <v>12</v>
      </c>
      <c r="J10">
        <v>11</v>
      </c>
      <c r="K10">
        <v>21</v>
      </c>
      <c r="L10">
        <v>41</v>
      </c>
      <c r="M10">
        <v>22</v>
      </c>
      <c r="N10">
        <f t="shared" si="0"/>
        <v>95</v>
      </c>
      <c r="O10" s="21"/>
      <c r="R10">
        <f t="shared" si="3"/>
        <v>0</v>
      </c>
      <c r="S10">
        <v>155</v>
      </c>
      <c r="U10" t="s">
        <v>287</v>
      </c>
      <c r="V10">
        <v>167</v>
      </c>
      <c r="W10">
        <v>-12</v>
      </c>
      <c r="X10">
        <f t="shared" si="4"/>
        <v>155</v>
      </c>
      <c r="Z10">
        <v>10</v>
      </c>
      <c r="AA10">
        <v>20</v>
      </c>
      <c r="AB10">
        <v>30</v>
      </c>
      <c r="AD10">
        <v>20</v>
      </c>
    </row>
    <row r="11" spans="1:32" x14ac:dyDescent="0.3">
      <c r="A11" t="s">
        <v>421</v>
      </c>
      <c r="B11">
        <v>10</v>
      </c>
      <c r="C11">
        <v>2</v>
      </c>
      <c r="D11">
        <v>3</v>
      </c>
      <c r="E11" s="4">
        <f t="shared" si="5"/>
        <v>15</v>
      </c>
      <c r="J11">
        <v>12</v>
      </c>
      <c r="K11">
        <v>23</v>
      </c>
      <c r="L11">
        <v>45</v>
      </c>
      <c r="M11">
        <v>24</v>
      </c>
      <c r="N11">
        <f t="shared" si="0"/>
        <v>104</v>
      </c>
      <c r="O11" s="21"/>
      <c r="Z11">
        <v>11</v>
      </c>
      <c r="AA11">
        <v>22</v>
      </c>
      <c r="AB11">
        <v>33</v>
      </c>
      <c r="AD11">
        <v>22</v>
      </c>
    </row>
    <row r="12" spans="1:32" x14ac:dyDescent="0.3">
      <c r="B12" s="4">
        <f>B9+B10+B11</f>
        <v>17</v>
      </c>
      <c r="C12" s="4">
        <f t="shared" ref="C12:D12" si="6">C9+C10+C11</f>
        <v>10</v>
      </c>
      <c r="D12" s="4">
        <f t="shared" si="6"/>
        <v>6</v>
      </c>
      <c r="E12" s="4">
        <f>E9+E10+E11</f>
        <v>33</v>
      </c>
      <c r="J12">
        <v>13</v>
      </c>
      <c r="K12">
        <v>25</v>
      </c>
      <c r="L12">
        <v>49</v>
      </c>
      <c r="M12">
        <v>26</v>
      </c>
      <c r="N12">
        <f t="shared" si="0"/>
        <v>113</v>
      </c>
      <c r="Q12">
        <f>Q10+Q11</f>
        <v>0</v>
      </c>
      <c r="R12">
        <f>R10+R11</f>
        <v>0</v>
      </c>
      <c r="S12">
        <f>S10+S11</f>
        <v>155</v>
      </c>
      <c r="Z12">
        <v>12</v>
      </c>
      <c r="AA12">
        <v>24</v>
      </c>
      <c r="AB12">
        <v>36</v>
      </c>
      <c r="AD12">
        <v>24</v>
      </c>
    </row>
    <row r="13" spans="1:32" x14ac:dyDescent="0.3">
      <c r="J13">
        <v>14</v>
      </c>
      <c r="K13">
        <v>27</v>
      </c>
      <c r="L13">
        <v>53</v>
      </c>
      <c r="M13">
        <v>28</v>
      </c>
      <c r="N13">
        <f t="shared" si="0"/>
        <v>122</v>
      </c>
      <c r="Q13">
        <v>320</v>
      </c>
      <c r="R13">
        <v>127</v>
      </c>
      <c r="S13">
        <v>281</v>
      </c>
      <c r="Z13">
        <v>13</v>
      </c>
      <c r="AA13">
        <v>26</v>
      </c>
      <c r="AB13">
        <v>39</v>
      </c>
      <c r="AD13">
        <v>26</v>
      </c>
    </row>
    <row r="14" spans="1:32" x14ac:dyDescent="0.3">
      <c r="J14">
        <v>15</v>
      </c>
      <c r="K14">
        <v>29</v>
      </c>
      <c r="L14">
        <v>57</v>
      </c>
      <c r="M14">
        <v>30</v>
      </c>
      <c r="N14">
        <f t="shared" si="0"/>
        <v>131</v>
      </c>
      <c r="Z14">
        <v>14</v>
      </c>
      <c r="AA14">
        <v>28</v>
      </c>
      <c r="AB14">
        <v>42</v>
      </c>
      <c r="AD14">
        <v>28</v>
      </c>
    </row>
    <row r="15" spans="1:32" x14ac:dyDescent="0.3">
      <c r="Z15">
        <v>15</v>
      </c>
      <c r="AA15">
        <v>30</v>
      </c>
      <c r="AB15">
        <v>45</v>
      </c>
      <c r="AD15">
        <v>30</v>
      </c>
    </row>
    <row r="16" spans="1:32" x14ac:dyDescent="0.3">
      <c r="N16">
        <f>SUM(N2:N14)</f>
        <v>938</v>
      </c>
      <c r="Z16">
        <v>1</v>
      </c>
      <c r="AA16">
        <v>2</v>
      </c>
      <c r="AB16">
        <v>3</v>
      </c>
      <c r="AC16">
        <v>4</v>
      </c>
      <c r="AD16">
        <v>5</v>
      </c>
      <c r="AE16">
        <v>6</v>
      </c>
      <c r="AF16">
        <v>7</v>
      </c>
    </row>
  </sheetData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zoomScale="140" zoomScaleNormal="140" workbookViewId="0">
      <selection activeCell="L11" sqref="L11"/>
    </sheetView>
  </sheetViews>
  <sheetFormatPr defaultColWidth="15" defaultRowHeight="14.4" x14ac:dyDescent="0.3"/>
  <cols>
    <col min="1" max="1" width="10.88671875" style="1" customWidth="1"/>
    <col min="2" max="2" width="8.33203125" style="1" customWidth="1"/>
    <col min="3" max="3" width="6.33203125" style="1" customWidth="1"/>
    <col min="4" max="4" width="14.6640625" style="1" bestFit="1" customWidth="1"/>
    <col min="5" max="6" width="7.6640625" style="1" bestFit="1" customWidth="1"/>
    <col min="7" max="7" width="15.6640625" style="1" bestFit="1" customWidth="1"/>
    <col min="8" max="8" width="11.44140625" style="1" bestFit="1" customWidth="1"/>
    <col min="9" max="9" width="16.109375" style="1" bestFit="1" customWidth="1"/>
    <col min="10" max="10" width="5.6640625" style="1" customWidth="1"/>
    <col min="11" max="11" width="8.6640625" style="3" bestFit="1" customWidth="1"/>
    <col min="12" max="12" width="28.109375" style="1" customWidth="1"/>
    <col min="13" max="16384" width="15" style="1"/>
  </cols>
  <sheetData>
    <row r="1" spans="1:13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3" x14ac:dyDescent="0.3">
      <c r="A2" s="1" t="s">
        <v>9</v>
      </c>
      <c r="B2" s="1" t="s">
        <v>10</v>
      </c>
      <c r="C2" s="1">
        <v>28</v>
      </c>
      <c r="D2" s="1" t="s">
        <v>11</v>
      </c>
      <c r="E2" s="1">
        <v>5</v>
      </c>
      <c r="F2" s="1">
        <v>1500.4</v>
      </c>
      <c r="G2" s="1" t="s">
        <v>12</v>
      </c>
      <c r="H2" s="2">
        <v>44778</v>
      </c>
      <c r="I2" s="1" t="s">
        <v>13</v>
      </c>
      <c r="K2" s="3" t="s">
        <v>14</v>
      </c>
      <c r="L2" s="1">
        <f>SUM(F2)</f>
        <v>1500.4</v>
      </c>
      <c r="M2" s="1">
        <f>SUM(F2:F201)</f>
        <v>136706.65000000005</v>
      </c>
    </row>
    <row r="3" spans="1:13" x14ac:dyDescent="0.3">
      <c r="A3" s="1" t="s">
        <v>15</v>
      </c>
      <c r="B3" s="1" t="s">
        <v>16</v>
      </c>
      <c r="C3" s="1">
        <v>21</v>
      </c>
      <c r="D3" s="1" t="s">
        <v>17</v>
      </c>
      <c r="E3" s="1">
        <v>3</v>
      </c>
      <c r="F3" s="1">
        <v>1800.51</v>
      </c>
      <c r="G3" s="1" t="s">
        <v>18</v>
      </c>
      <c r="H3" s="2">
        <v>44542</v>
      </c>
      <c r="I3" s="1" t="s">
        <v>19</v>
      </c>
      <c r="K3" s="3" t="s">
        <v>20</v>
      </c>
      <c r="L3" s="1">
        <f>SUMIF(D2:D201,"Shoes",F2:F201)</f>
        <v>35410.029999999992</v>
      </c>
    </row>
    <row r="4" spans="1:13" x14ac:dyDescent="0.3">
      <c r="A4" s="1" t="s">
        <v>21</v>
      </c>
      <c r="B4" s="1" t="s">
        <v>16</v>
      </c>
      <c r="C4" s="1">
        <v>20</v>
      </c>
      <c r="D4" s="1" t="s">
        <v>11</v>
      </c>
      <c r="E4" s="1">
        <v>1</v>
      </c>
      <c r="F4" s="1">
        <v>300.08</v>
      </c>
      <c r="G4" s="1" t="s">
        <v>22</v>
      </c>
      <c r="H4" s="2">
        <v>44509</v>
      </c>
      <c r="I4" s="1" t="s">
        <v>23</v>
      </c>
    </row>
    <row r="5" spans="1:13" x14ac:dyDescent="0.3">
      <c r="A5" s="1" t="s">
        <v>24</v>
      </c>
      <c r="B5" s="1" t="s">
        <v>10</v>
      </c>
      <c r="C5" s="1">
        <v>66</v>
      </c>
      <c r="D5" s="1" t="s">
        <v>17</v>
      </c>
      <c r="E5" s="1">
        <v>5</v>
      </c>
      <c r="F5" s="1">
        <v>3000.85</v>
      </c>
      <c r="G5" s="1" t="s">
        <v>12</v>
      </c>
      <c r="H5" s="2">
        <v>44332</v>
      </c>
      <c r="I5" s="1" t="s">
        <v>25</v>
      </c>
      <c r="K5" s="3" t="s">
        <v>26</v>
      </c>
      <c r="L5" s="1">
        <f>COUNT(F1:F201)</f>
        <v>200</v>
      </c>
    </row>
    <row r="6" spans="1:13" x14ac:dyDescent="0.3">
      <c r="A6" s="1" t="s">
        <v>27</v>
      </c>
      <c r="B6" s="1" t="s">
        <v>10</v>
      </c>
      <c r="C6" s="1">
        <v>53</v>
      </c>
      <c r="D6" s="1" t="s">
        <v>28</v>
      </c>
      <c r="E6" s="1">
        <v>4</v>
      </c>
      <c r="F6" s="1">
        <v>60.6</v>
      </c>
      <c r="G6" s="1" t="s">
        <v>22</v>
      </c>
      <c r="H6" s="2">
        <v>44493</v>
      </c>
      <c r="I6" s="1" t="s">
        <v>13</v>
      </c>
      <c r="K6" s="3" t="s">
        <v>29</v>
      </c>
      <c r="L6" s="1">
        <f>COUNTIF(I2:I201,"Kanyon")</f>
        <v>47</v>
      </c>
    </row>
    <row r="7" spans="1:13" x14ac:dyDescent="0.3">
      <c r="A7" s="1" t="s">
        <v>30</v>
      </c>
      <c r="B7" s="1" t="s">
        <v>10</v>
      </c>
      <c r="C7" s="1">
        <v>28</v>
      </c>
      <c r="D7" s="1" t="s">
        <v>11</v>
      </c>
      <c r="E7" s="1">
        <v>5</v>
      </c>
      <c r="F7" s="1">
        <v>1500.4</v>
      </c>
      <c r="G7" s="1" t="s">
        <v>12</v>
      </c>
      <c r="H7" s="2">
        <v>44705</v>
      </c>
      <c r="I7" s="1" t="s">
        <v>19</v>
      </c>
    </row>
    <row r="8" spans="1:13" x14ac:dyDescent="0.3">
      <c r="A8" s="1" t="s">
        <v>31</v>
      </c>
      <c r="B8" s="1" t="s">
        <v>10</v>
      </c>
      <c r="C8" s="1">
        <v>49</v>
      </c>
      <c r="D8" s="1" t="s">
        <v>32</v>
      </c>
      <c r="E8" s="1">
        <v>1</v>
      </c>
      <c r="F8" s="1">
        <v>40.659999999999997</v>
      </c>
      <c r="G8" s="1" t="s">
        <v>22</v>
      </c>
      <c r="H8" s="2">
        <v>44633</v>
      </c>
      <c r="I8" s="1" t="s">
        <v>33</v>
      </c>
      <c r="K8" s="3" t="s">
        <v>34</v>
      </c>
      <c r="L8" s="1">
        <f>AVERAGE(F2:F201)</f>
        <v>683.53325000000029</v>
      </c>
    </row>
    <row r="9" spans="1:13" x14ac:dyDescent="0.3">
      <c r="A9" s="1" t="s">
        <v>35</v>
      </c>
      <c r="B9" s="1" t="s">
        <v>10</v>
      </c>
      <c r="C9" s="1">
        <v>32</v>
      </c>
      <c r="D9" s="1" t="s">
        <v>11</v>
      </c>
      <c r="E9" s="1">
        <v>2</v>
      </c>
      <c r="F9" s="1">
        <v>600.16</v>
      </c>
      <c r="G9" s="1" t="s">
        <v>12</v>
      </c>
      <c r="H9" s="2">
        <v>44209</v>
      </c>
      <c r="I9" s="1" t="s">
        <v>36</v>
      </c>
      <c r="L9" s="1">
        <f>AVERAGE(C2:C201)</f>
        <v>41.63</v>
      </c>
    </row>
    <row r="10" spans="1:13" x14ac:dyDescent="0.3">
      <c r="A10" s="1" t="s">
        <v>37</v>
      </c>
      <c r="B10" s="1" t="s">
        <v>16</v>
      </c>
      <c r="C10" s="1">
        <v>69</v>
      </c>
      <c r="D10" s="1" t="s">
        <v>11</v>
      </c>
      <c r="E10" s="1">
        <v>3</v>
      </c>
      <c r="F10" s="1">
        <v>900.24</v>
      </c>
      <c r="G10" s="1" t="s">
        <v>12</v>
      </c>
      <c r="H10" s="2">
        <v>44504</v>
      </c>
      <c r="I10" s="1" t="s">
        <v>23</v>
      </c>
      <c r="L10" s="1">
        <f>AVERAGE(E1:E2)</f>
        <v>5</v>
      </c>
    </row>
    <row r="11" spans="1:13" x14ac:dyDescent="0.3">
      <c r="A11" s="1" t="s">
        <v>38</v>
      </c>
      <c r="B11" s="1" t="s">
        <v>10</v>
      </c>
      <c r="C11" s="1">
        <v>60</v>
      </c>
      <c r="D11" s="1" t="s">
        <v>11</v>
      </c>
      <c r="E11" s="1">
        <v>2</v>
      </c>
      <c r="F11" s="1">
        <v>600.16</v>
      </c>
      <c r="G11" s="1" t="s">
        <v>12</v>
      </c>
      <c r="H11" s="2">
        <v>44430</v>
      </c>
      <c r="I11" s="1" t="s">
        <v>13</v>
      </c>
    </row>
    <row r="12" spans="1:13" x14ac:dyDescent="0.3">
      <c r="A12" s="1" t="s">
        <v>39</v>
      </c>
      <c r="B12" s="1" t="s">
        <v>10</v>
      </c>
      <c r="C12" s="1">
        <v>36</v>
      </c>
      <c r="D12" s="1" t="s">
        <v>40</v>
      </c>
      <c r="E12" s="1">
        <v>2</v>
      </c>
      <c r="F12" s="1">
        <v>10.46</v>
      </c>
      <c r="G12" s="1" t="s">
        <v>22</v>
      </c>
      <c r="H12" s="2">
        <v>44920</v>
      </c>
      <c r="I12" s="1" t="s">
        <v>23</v>
      </c>
    </row>
    <row r="13" spans="1:13" x14ac:dyDescent="0.3">
      <c r="A13" s="1" t="s">
        <v>41</v>
      </c>
      <c r="B13" s="1" t="s">
        <v>10</v>
      </c>
      <c r="C13" s="1">
        <v>29</v>
      </c>
      <c r="D13" s="1" t="s">
        <v>28</v>
      </c>
      <c r="E13" s="1">
        <v>1</v>
      </c>
      <c r="F13" s="1">
        <v>15.15</v>
      </c>
      <c r="G13" s="1" t="s">
        <v>12</v>
      </c>
      <c r="H13" s="2">
        <v>44862</v>
      </c>
      <c r="I13" s="1" t="s">
        <v>42</v>
      </c>
    </row>
    <row r="14" spans="1:13" x14ac:dyDescent="0.3">
      <c r="A14" s="1" t="s">
        <v>43</v>
      </c>
      <c r="B14" s="1" t="s">
        <v>10</v>
      </c>
      <c r="C14" s="1">
        <v>67</v>
      </c>
      <c r="D14" s="1" t="s">
        <v>44</v>
      </c>
      <c r="E14" s="1">
        <v>4</v>
      </c>
      <c r="F14" s="1">
        <v>143.36000000000001</v>
      </c>
      <c r="G14" s="1" t="s">
        <v>18</v>
      </c>
      <c r="H14" s="2">
        <v>44773</v>
      </c>
      <c r="I14" s="1" t="s">
        <v>23</v>
      </c>
    </row>
    <row r="15" spans="1:13" x14ac:dyDescent="0.3">
      <c r="A15" s="1" t="s">
        <v>45</v>
      </c>
      <c r="B15" s="1" t="s">
        <v>16</v>
      </c>
      <c r="C15" s="1">
        <v>25</v>
      </c>
      <c r="D15" s="1" t="s">
        <v>11</v>
      </c>
      <c r="E15" s="1">
        <v>2</v>
      </c>
      <c r="F15" s="1">
        <v>600.16</v>
      </c>
      <c r="G15" s="1" t="s">
        <v>22</v>
      </c>
      <c r="H15" s="2">
        <v>44882</v>
      </c>
      <c r="I15" s="1" t="s">
        <v>46</v>
      </c>
    </row>
    <row r="16" spans="1:13" x14ac:dyDescent="0.3">
      <c r="A16" s="1" t="s">
        <v>47</v>
      </c>
      <c r="B16" s="1" t="s">
        <v>10</v>
      </c>
      <c r="C16" s="1">
        <v>67</v>
      </c>
      <c r="D16" s="1" t="s">
        <v>11</v>
      </c>
      <c r="E16" s="1">
        <v>2</v>
      </c>
      <c r="F16" s="1">
        <v>600.16</v>
      </c>
      <c r="G16" s="1" t="s">
        <v>12</v>
      </c>
      <c r="H16" s="2">
        <v>44715</v>
      </c>
      <c r="I16" s="1" t="s">
        <v>13</v>
      </c>
    </row>
    <row r="17" spans="1:9" x14ac:dyDescent="0.3">
      <c r="A17" s="1" t="s">
        <v>48</v>
      </c>
      <c r="B17" s="1" t="s">
        <v>16</v>
      </c>
      <c r="C17" s="1">
        <v>24</v>
      </c>
      <c r="D17" s="1" t="s">
        <v>17</v>
      </c>
      <c r="E17" s="1">
        <v>5</v>
      </c>
      <c r="F17" s="1">
        <v>3000.85</v>
      </c>
      <c r="G17" s="1" t="s">
        <v>12</v>
      </c>
      <c r="H17" s="2">
        <v>44507</v>
      </c>
      <c r="I17" s="1" t="s">
        <v>49</v>
      </c>
    </row>
    <row r="18" spans="1:9" x14ac:dyDescent="0.3">
      <c r="A18" s="1" t="s">
        <v>50</v>
      </c>
      <c r="B18" s="1" t="s">
        <v>16</v>
      </c>
      <c r="C18" s="1">
        <v>65</v>
      </c>
      <c r="D18" s="1" t="s">
        <v>28</v>
      </c>
      <c r="E18" s="1">
        <v>2</v>
      </c>
      <c r="F18" s="1">
        <v>30.3</v>
      </c>
      <c r="G18" s="1" t="s">
        <v>18</v>
      </c>
      <c r="H18" s="2">
        <v>44212</v>
      </c>
      <c r="I18" s="1" t="s">
        <v>23</v>
      </c>
    </row>
    <row r="19" spans="1:9" x14ac:dyDescent="0.3">
      <c r="A19" s="1" t="s">
        <v>51</v>
      </c>
      <c r="B19" s="1" t="s">
        <v>10</v>
      </c>
      <c r="C19" s="1">
        <v>42</v>
      </c>
      <c r="D19" s="1" t="s">
        <v>40</v>
      </c>
      <c r="E19" s="1">
        <v>3</v>
      </c>
      <c r="F19" s="1">
        <v>15.69</v>
      </c>
      <c r="G19" s="1" t="s">
        <v>12</v>
      </c>
      <c r="H19" s="2">
        <v>44566</v>
      </c>
      <c r="I19" s="1" t="s">
        <v>52</v>
      </c>
    </row>
    <row r="20" spans="1:9" x14ac:dyDescent="0.3">
      <c r="A20" s="1" t="s">
        <v>53</v>
      </c>
      <c r="B20" s="1" t="s">
        <v>10</v>
      </c>
      <c r="C20" s="1">
        <v>46</v>
      </c>
      <c r="D20" s="1" t="s">
        <v>11</v>
      </c>
      <c r="E20" s="1">
        <v>2</v>
      </c>
      <c r="F20" s="1">
        <v>600.16</v>
      </c>
      <c r="G20" s="1" t="s">
        <v>22</v>
      </c>
      <c r="H20" s="2">
        <v>44403</v>
      </c>
      <c r="I20" s="1" t="s">
        <v>25</v>
      </c>
    </row>
    <row r="21" spans="1:9" x14ac:dyDescent="0.3">
      <c r="A21" s="1" t="s">
        <v>54</v>
      </c>
      <c r="B21" s="1" t="s">
        <v>16</v>
      </c>
      <c r="C21" s="1">
        <v>24</v>
      </c>
      <c r="D21" s="1" t="s">
        <v>44</v>
      </c>
      <c r="E21" s="1">
        <v>4</v>
      </c>
      <c r="F21" s="1">
        <v>143.36000000000001</v>
      </c>
      <c r="G21" s="1" t="s">
        <v>22</v>
      </c>
      <c r="H21" s="2">
        <v>44992</v>
      </c>
      <c r="I21" s="1" t="s">
        <v>46</v>
      </c>
    </row>
    <row r="22" spans="1:9" x14ac:dyDescent="0.3">
      <c r="A22" s="1" t="s">
        <v>55</v>
      </c>
      <c r="B22" s="1" t="s">
        <v>16</v>
      </c>
      <c r="C22" s="1">
        <v>23</v>
      </c>
      <c r="D22" s="1" t="s">
        <v>11</v>
      </c>
      <c r="E22" s="1">
        <v>1</v>
      </c>
      <c r="F22" s="1">
        <v>300.08</v>
      </c>
      <c r="G22" s="1" t="s">
        <v>12</v>
      </c>
      <c r="H22" s="2">
        <v>44972</v>
      </c>
      <c r="I22" s="1" t="s">
        <v>42</v>
      </c>
    </row>
    <row r="23" spans="1:9" x14ac:dyDescent="0.3">
      <c r="A23" s="1" t="s">
        <v>56</v>
      </c>
      <c r="B23" s="1" t="s">
        <v>10</v>
      </c>
      <c r="C23" s="1">
        <v>27</v>
      </c>
      <c r="D23" s="1" t="s">
        <v>40</v>
      </c>
      <c r="E23" s="1">
        <v>1</v>
      </c>
      <c r="F23" s="1">
        <v>5.23</v>
      </c>
      <c r="G23" s="1" t="s">
        <v>22</v>
      </c>
      <c r="H23" s="2">
        <v>44317</v>
      </c>
      <c r="I23" s="1" t="s">
        <v>46</v>
      </c>
    </row>
    <row r="24" spans="1:9" x14ac:dyDescent="0.3">
      <c r="A24" s="1" t="s">
        <v>57</v>
      </c>
      <c r="B24" s="1" t="s">
        <v>16</v>
      </c>
      <c r="C24" s="1">
        <v>52</v>
      </c>
      <c r="D24" s="1" t="s">
        <v>11</v>
      </c>
      <c r="E24" s="1">
        <v>2</v>
      </c>
      <c r="F24" s="1">
        <v>600.16</v>
      </c>
      <c r="G24" s="1" t="s">
        <v>12</v>
      </c>
      <c r="H24" s="2">
        <v>44730</v>
      </c>
      <c r="I24" s="1" t="s">
        <v>46</v>
      </c>
    </row>
    <row r="25" spans="1:9" x14ac:dyDescent="0.3">
      <c r="A25" s="1" t="s">
        <v>58</v>
      </c>
      <c r="B25" s="1" t="s">
        <v>16</v>
      </c>
      <c r="C25" s="1">
        <v>44</v>
      </c>
      <c r="D25" s="1" t="s">
        <v>59</v>
      </c>
      <c r="E25" s="1">
        <v>5</v>
      </c>
      <c r="F25" s="1">
        <v>5250</v>
      </c>
      <c r="G25" s="1" t="s">
        <v>22</v>
      </c>
      <c r="H25" s="2">
        <v>44495</v>
      </c>
      <c r="I25" s="1" t="s">
        <v>13</v>
      </c>
    </row>
    <row r="26" spans="1:9" x14ac:dyDescent="0.3">
      <c r="A26" s="1" t="s">
        <v>60</v>
      </c>
      <c r="B26" s="1" t="s">
        <v>10</v>
      </c>
      <c r="C26" s="1">
        <v>42</v>
      </c>
      <c r="D26" s="1" t="s">
        <v>28</v>
      </c>
      <c r="E26" s="1">
        <v>5</v>
      </c>
      <c r="F26" s="1">
        <v>75.75</v>
      </c>
      <c r="G26" s="1" t="s">
        <v>22</v>
      </c>
      <c r="H26" s="2">
        <v>44911</v>
      </c>
      <c r="I26" s="1" t="s">
        <v>23</v>
      </c>
    </row>
    <row r="27" spans="1:9" x14ac:dyDescent="0.3">
      <c r="A27" s="1" t="s">
        <v>61</v>
      </c>
      <c r="B27" s="1" t="s">
        <v>16</v>
      </c>
      <c r="C27" s="1">
        <v>51</v>
      </c>
      <c r="D27" s="1" t="s">
        <v>44</v>
      </c>
      <c r="E27" s="1">
        <v>2</v>
      </c>
      <c r="F27" s="1">
        <v>71.680000000000007</v>
      </c>
      <c r="G27" s="1" t="s">
        <v>18</v>
      </c>
      <c r="H27" s="2">
        <v>44332</v>
      </c>
      <c r="I27" s="1" t="s">
        <v>33</v>
      </c>
    </row>
    <row r="28" spans="1:9" x14ac:dyDescent="0.3">
      <c r="A28" s="1" t="s">
        <v>62</v>
      </c>
      <c r="B28" s="1" t="s">
        <v>10</v>
      </c>
      <c r="C28" s="1">
        <v>25</v>
      </c>
      <c r="D28" s="1" t="s">
        <v>32</v>
      </c>
      <c r="E28" s="1">
        <v>5</v>
      </c>
      <c r="F28" s="1">
        <v>203.3</v>
      </c>
      <c r="G28" s="1" t="s">
        <v>12</v>
      </c>
      <c r="H28" s="2">
        <v>44671</v>
      </c>
      <c r="I28" s="1" t="s">
        <v>36</v>
      </c>
    </row>
    <row r="29" spans="1:9" x14ac:dyDescent="0.3">
      <c r="A29" s="1" t="s">
        <v>63</v>
      </c>
      <c r="B29" s="1" t="s">
        <v>16</v>
      </c>
      <c r="C29" s="1">
        <v>50</v>
      </c>
      <c r="D29" s="1" t="s">
        <v>17</v>
      </c>
      <c r="E29" s="1">
        <v>4</v>
      </c>
      <c r="F29" s="1">
        <v>2400.6799999999998</v>
      </c>
      <c r="G29" s="1" t="s">
        <v>22</v>
      </c>
      <c r="H29" s="2">
        <v>44844</v>
      </c>
      <c r="I29" s="1" t="s">
        <v>42</v>
      </c>
    </row>
    <row r="30" spans="1:9" x14ac:dyDescent="0.3">
      <c r="A30" s="1" t="s">
        <v>64</v>
      </c>
      <c r="B30" s="1" t="s">
        <v>10</v>
      </c>
      <c r="C30" s="1">
        <v>65</v>
      </c>
      <c r="D30" s="1" t="s">
        <v>17</v>
      </c>
      <c r="E30" s="1">
        <v>3</v>
      </c>
      <c r="F30" s="1">
        <v>1800.51</v>
      </c>
      <c r="G30" s="1" t="s">
        <v>22</v>
      </c>
      <c r="H30" s="2">
        <v>44796</v>
      </c>
      <c r="I30" s="1" t="s">
        <v>46</v>
      </c>
    </row>
    <row r="31" spans="1:9" x14ac:dyDescent="0.3">
      <c r="A31" s="1" t="s">
        <v>65</v>
      </c>
      <c r="B31" s="1" t="s">
        <v>16</v>
      </c>
      <c r="C31" s="1">
        <v>29</v>
      </c>
      <c r="D31" s="1" t="s">
        <v>32</v>
      </c>
      <c r="E31" s="1">
        <v>3</v>
      </c>
      <c r="F31" s="1">
        <v>121.98</v>
      </c>
      <c r="G31" s="1" t="s">
        <v>12</v>
      </c>
      <c r="H31" s="2">
        <v>44315</v>
      </c>
      <c r="I31" s="1" t="s">
        <v>33</v>
      </c>
    </row>
    <row r="32" spans="1:9" x14ac:dyDescent="0.3">
      <c r="A32" s="1" t="s">
        <v>66</v>
      </c>
      <c r="B32" s="1" t="s">
        <v>10</v>
      </c>
      <c r="C32" s="1">
        <v>66</v>
      </c>
      <c r="D32" s="1" t="s">
        <v>44</v>
      </c>
      <c r="E32" s="1">
        <v>3</v>
      </c>
      <c r="F32" s="1">
        <v>107.52</v>
      </c>
      <c r="G32" s="1" t="s">
        <v>18</v>
      </c>
      <c r="H32" s="2">
        <v>44746</v>
      </c>
      <c r="I32" s="1" t="s">
        <v>36</v>
      </c>
    </row>
    <row r="33" spans="1:9" x14ac:dyDescent="0.3">
      <c r="A33" s="1" t="s">
        <v>67</v>
      </c>
      <c r="B33" s="1" t="s">
        <v>16</v>
      </c>
      <c r="C33" s="1">
        <v>23</v>
      </c>
      <c r="D33" s="1" t="s">
        <v>11</v>
      </c>
      <c r="E33" s="1">
        <v>1</v>
      </c>
      <c r="F33" s="1">
        <v>300.08</v>
      </c>
      <c r="G33" s="1" t="s">
        <v>12</v>
      </c>
      <c r="H33" s="2">
        <v>44521</v>
      </c>
      <c r="I33" s="1" t="s">
        <v>42</v>
      </c>
    </row>
    <row r="34" spans="1:9" x14ac:dyDescent="0.3">
      <c r="A34" s="1" t="s">
        <v>68</v>
      </c>
      <c r="B34" s="1" t="s">
        <v>10</v>
      </c>
      <c r="C34" s="1">
        <v>32</v>
      </c>
      <c r="D34" s="1" t="s">
        <v>17</v>
      </c>
      <c r="E34" s="1">
        <v>3</v>
      </c>
      <c r="F34" s="1">
        <v>1800.51</v>
      </c>
      <c r="G34" s="1" t="s">
        <v>12</v>
      </c>
      <c r="H34" s="2">
        <v>44615</v>
      </c>
      <c r="I34" s="1" t="s">
        <v>13</v>
      </c>
    </row>
    <row r="35" spans="1:9" x14ac:dyDescent="0.3">
      <c r="A35" s="1" t="s">
        <v>69</v>
      </c>
      <c r="B35" s="1" t="s">
        <v>16</v>
      </c>
      <c r="C35" s="1">
        <v>51</v>
      </c>
      <c r="D35" s="1" t="s">
        <v>11</v>
      </c>
      <c r="E35" s="1">
        <v>4</v>
      </c>
      <c r="F35" s="1">
        <v>1200.32</v>
      </c>
      <c r="G35" s="1" t="s">
        <v>18</v>
      </c>
      <c r="H35" s="2">
        <v>44388</v>
      </c>
      <c r="I35" s="1" t="s">
        <v>23</v>
      </c>
    </row>
    <row r="36" spans="1:9" x14ac:dyDescent="0.3">
      <c r="A36" s="1" t="s">
        <v>70</v>
      </c>
      <c r="B36" s="1" t="s">
        <v>10</v>
      </c>
      <c r="C36" s="1">
        <v>66</v>
      </c>
      <c r="D36" s="1" t="s">
        <v>17</v>
      </c>
      <c r="E36" s="1">
        <v>4</v>
      </c>
      <c r="F36" s="1">
        <v>2400.6799999999998</v>
      </c>
      <c r="G36" s="1" t="s">
        <v>12</v>
      </c>
      <c r="H36" s="2">
        <v>44803</v>
      </c>
      <c r="I36" s="1" t="s">
        <v>52</v>
      </c>
    </row>
    <row r="37" spans="1:9" x14ac:dyDescent="0.3">
      <c r="A37" s="1" t="s">
        <v>71</v>
      </c>
      <c r="B37" s="1" t="s">
        <v>16</v>
      </c>
      <c r="C37" s="1">
        <v>68</v>
      </c>
      <c r="D37" s="1" t="s">
        <v>40</v>
      </c>
      <c r="E37" s="1">
        <v>1</v>
      </c>
      <c r="F37" s="1">
        <v>5.23</v>
      </c>
      <c r="G37" s="1" t="s">
        <v>12</v>
      </c>
      <c r="H37" s="2">
        <v>44930</v>
      </c>
      <c r="I37" s="1" t="s">
        <v>42</v>
      </c>
    </row>
    <row r="38" spans="1:9" x14ac:dyDescent="0.3">
      <c r="A38" s="1" t="s">
        <v>72</v>
      </c>
      <c r="B38" s="1" t="s">
        <v>16</v>
      </c>
      <c r="C38" s="1">
        <v>43</v>
      </c>
      <c r="D38" s="1" t="s">
        <v>11</v>
      </c>
      <c r="E38" s="1">
        <v>5</v>
      </c>
      <c r="F38" s="1">
        <v>1500.4</v>
      </c>
      <c r="G38" s="1" t="s">
        <v>12</v>
      </c>
      <c r="H38" s="2">
        <v>44733</v>
      </c>
      <c r="I38" s="1" t="s">
        <v>13</v>
      </c>
    </row>
    <row r="39" spans="1:9" x14ac:dyDescent="0.3">
      <c r="A39" s="1" t="s">
        <v>73</v>
      </c>
      <c r="B39" s="1" t="s">
        <v>10</v>
      </c>
      <c r="C39" s="1">
        <v>59</v>
      </c>
      <c r="D39" s="1" t="s">
        <v>11</v>
      </c>
      <c r="E39" s="1">
        <v>2</v>
      </c>
      <c r="F39" s="1">
        <v>600.16</v>
      </c>
      <c r="G39" s="1" t="s">
        <v>12</v>
      </c>
      <c r="H39" s="2">
        <v>44750</v>
      </c>
      <c r="I39" s="1" t="s">
        <v>23</v>
      </c>
    </row>
    <row r="40" spans="1:9" x14ac:dyDescent="0.3">
      <c r="A40" s="1" t="s">
        <v>74</v>
      </c>
      <c r="B40" s="1" t="s">
        <v>16</v>
      </c>
      <c r="C40" s="1">
        <v>54</v>
      </c>
      <c r="D40" s="1" t="s">
        <v>11</v>
      </c>
      <c r="E40" s="1">
        <v>2</v>
      </c>
      <c r="F40" s="1">
        <v>600.16</v>
      </c>
      <c r="G40" s="1" t="s">
        <v>22</v>
      </c>
      <c r="H40" s="2">
        <v>44619</v>
      </c>
      <c r="I40" s="1" t="s">
        <v>13</v>
      </c>
    </row>
    <row r="41" spans="1:9" x14ac:dyDescent="0.3">
      <c r="A41" s="1" t="s">
        <v>75</v>
      </c>
      <c r="B41" s="1" t="s">
        <v>16</v>
      </c>
      <c r="C41" s="1">
        <v>24</v>
      </c>
      <c r="D41" s="1" t="s">
        <v>11</v>
      </c>
      <c r="E41" s="1">
        <v>1</v>
      </c>
      <c r="F41" s="1">
        <v>300.08</v>
      </c>
      <c r="G41" s="1" t="s">
        <v>22</v>
      </c>
      <c r="H41" s="2">
        <v>44914</v>
      </c>
      <c r="I41" s="1" t="s">
        <v>25</v>
      </c>
    </row>
    <row r="42" spans="1:9" x14ac:dyDescent="0.3">
      <c r="A42" s="1" t="s">
        <v>76</v>
      </c>
      <c r="B42" s="1" t="s">
        <v>10</v>
      </c>
      <c r="C42" s="1">
        <v>49</v>
      </c>
      <c r="D42" s="1" t="s">
        <v>40</v>
      </c>
      <c r="E42" s="1">
        <v>3</v>
      </c>
      <c r="F42" s="1">
        <v>15.69</v>
      </c>
      <c r="G42" s="1" t="s">
        <v>22</v>
      </c>
      <c r="H42" s="2">
        <v>44449</v>
      </c>
      <c r="I42" s="1" t="s">
        <v>52</v>
      </c>
    </row>
    <row r="43" spans="1:9" x14ac:dyDescent="0.3">
      <c r="A43" s="1" t="s">
        <v>77</v>
      </c>
      <c r="B43" s="1" t="s">
        <v>16</v>
      </c>
      <c r="C43" s="1">
        <v>67</v>
      </c>
      <c r="D43" s="1" t="s">
        <v>32</v>
      </c>
      <c r="E43" s="1">
        <v>2</v>
      </c>
      <c r="F43" s="1">
        <v>81.319999999999993</v>
      </c>
      <c r="G43" s="1" t="s">
        <v>12</v>
      </c>
      <c r="H43" s="2">
        <v>44606</v>
      </c>
      <c r="I43" s="1" t="s">
        <v>25</v>
      </c>
    </row>
    <row r="44" spans="1:9" x14ac:dyDescent="0.3">
      <c r="A44" s="1" t="s">
        <v>78</v>
      </c>
      <c r="B44" s="1" t="s">
        <v>10</v>
      </c>
      <c r="C44" s="1">
        <v>48</v>
      </c>
      <c r="D44" s="1" t="s">
        <v>32</v>
      </c>
      <c r="E44" s="1">
        <v>3</v>
      </c>
      <c r="F44" s="1">
        <v>121.98</v>
      </c>
      <c r="G44" s="1" t="s">
        <v>22</v>
      </c>
      <c r="H44" s="2">
        <v>44679</v>
      </c>
      <c r="I44" s="1" t="s">
        <v>23</v>
      </c>
    </row>
    <row r="45" spans="1:9" x14ac:dyDescent="0.3">
      <c r="A45" s="1" t="s">
        <v>79</v>
      </c>
      <c r="B45" s="1" t="s">
        <v>10</v>
      </c>
      <c r="C45" s="1">
        <v>40</v>
      </c>
      <c r="D45" s="1" t="s">
        <v>17</v>
      </c>
      <c r="E45" s="1">
        <v>4</v>
      </c>
      <c r="F45" s="1">
        <v>2400.6799999999998</v>
      </c>
      <c r="G45" s="1" t="s">
        <v>22</v>
      </c>
      <c r="H45" s="2">
        <v>44732</v>
      </c>
      <c r="I45" s="1" t="s">
        <v>23</v>
      </c>
    </row>
    <row r="46" spans="1:9" x14ac:dyDescent="0.3">
      <c r="A46" s="1" t="s">
        <v>80</v>
      </c>
      <c r="B46" s="1" t="s">
        <v>10</v>
      </c>
      <c r="C46" s="1">
        <v>41</v>
      </c>
      <c r="D46" s="1" t="s">
        <v>17</v>
      </c>
      <c r="E46" s="1">
        <v>3</v>
      </c>
      <c r="F46" s="1">
        <v>1800.51</v>
      </c>
      <c r="G46" s="1" t="s">
        <v>12</v>
      </c>
      <c r="H46" s="2">
        <v>44672</v>
      </c>
      <c r="I46" s="1" t="s">
        <v>13</v>
      </c>
    </row>
    <row r="47" spans="1:9" x14ac:dyDescent="0.3">
      <c r="A47" s="1" t="s">
        <v>81</v>
      </c>
      <c r="B47" s="1" t="s">
        <v>16</v>
      </c>
      <c r="C47" s="1">
        <v>46</v>
      </c>
      <c r="D47" s="1" t="s">
        <v>28</v>
      </c>
      <c r="E47" s="1">
        <v>5</v>
      </c>
      <c r="F47" s="1">
        <v>75.75</v>
      </c>
      <c r="G47" s="1" t="s">
        <v>12</v>
      </c>
      <c r="H47" s="2">
        <v>44904</v>
      </c>
      <c r="I47" s="1" t="s">
        <v>52</v>
      </c>
    </row>
    <row r="48" spans="1:9" x14ac:dyDescent="0.3">
      <c r="A48" s="1" t="s">
        <v>82</v>
      </c>
      <c r="B48" s="1" t="s">
        <v>10</v>
      </c>
      <c r="C48" s="1">
        <v>19</v>
      </c>
      <c r="D48" s="1" t="s">
        <v>32</v>
      </c>
      <c r="E48" s="1">
        <v>3</v>
      </c>
      <c r="F48" s="1">
        <v>121.98</v>
      </c>
      <c r="G48" s="1" t="s">
        <v>12</v>
      </c>
      <c r="H48" s="2">
        <v>44938</v>
      </c>
      <c r="I48" s="1" t="s">
        <v>36</v>
      </c>
    </row>
    <row r="49" spans="1:9" x14ac:dyDescent="0.3">
      <c r="A49" s="1" t="s">
        <v>83</v>
      </c>
      <c r="B49" s="1" t="s">
        <v>10</v>
      </c>
      <c r="C49" s="1">
        <v>43</v>
      </c>
      <c r="D49" s="1" t="s">
        <v>11</v>
      </c>
      <c r="E49" s="1">
        <v>4</v>
      </c>
      <c r="F49" s="1">
        <v>1200.32</v>
      </c>
      <c r="G49" s="1" t="s">
        <v>18</v>
      </c>
      <c r="H49" s="2">
        <v>44872</v>
      </c>
      <c r="I49" s="1" t="s">
        <v>52</v>
      </c>
    </row>
    <row r="50" spans="1:9" x14ac:dyDescent="0.3">
      <c r="A50" s="1" t="s">
        <v>84</v>
      </c>
      <c r="B50" s="1" t="s">
        <v>16</v>
      </c>
      <c r="C50" s="1">
        <v>18</v>
      </c>
      <c r="D50" s="1" t="s">
        <v>32</v>
      </c>
      <c r="E50" s="1">
        <v>3</v>
      </c>
      <c r="F50" s="1">
        <v>121.98</v>
      </c>
      <c r="G50" s="1" t="s">
        <v>18</v>
      </c>
      <c r="H50" s="2">
        <v>44599</v>
      </c>
      <c r="I50" s="1" t="s">
        <v>52</v>
      </c>
    </row>
    <row r="51" spans="1:9" x14ac:dyDescent="0.3">
      <c r="A51" s="1" t="s">
        <v>85</v>
      </c>
      <c r="B51" s="1" t="s">
        <v>10</v>
      </c>
      <c r="C51" s="1">
        <v>22</v>
      </c>
      <c r="D51" s="1" t="s">
        <v>28</v>
      </c>
      <c r="E51" s="1">
        <v>5</v>
      </c>
      <c r="F51" s="1">
        <v>75.75</v>
      </c>
      <c r="G51" s="1" t="s">
        <v>18</v>
      </c>
      <c r="H51" s="2">
        <v>44360</v>
      </c>
      <c r="I51" s="1" t="s">
        <v>19</v>
      </c>
    </row>
    <row r="52" spans="1:9" x14ac:dyDescent="0.3">
      <c r="A52" s="1" t="s">
        <v>86</v>
      </c>
      <c r="B52" s="1" t="s">
        <v>10</v>
      </c>
      <c r="C52" s="1">
        <v>61</v>
      </c>
      <c r="D52" s="1" t="s">
        <v>32</v>
      </c>
      <c r="E52" s="1">
        <v>5</v>
      </c>
      <c r="F52" s="1">
        <v>203.3</v>
      </c>
      <c r="G52" s="1" t="s">
        <v>22</v>
      </c>
      <c r="H52" s="2">
        <v>44431</v>
      </c>
      <c r="I52" s="1" t="s">
        <v>42</v>
      </c>
    </row>
    <row r="53" spans="1:9" x14ac:dyDescent="0.3">
      <c r="A53" s="1" t="s">
        <v>87</v>
      </c>
      <c r="B53" s="1" t="s">
        <v>10</v>
      </c>
      <c r="C53" s="1">
        <v>41</v>
      </c>
      <c r="D53" s="1" t="s">
        <v>28</v>
      </c>
      <c r="E53" s="1">
        <v>3</v>
      </c>
      <c r="F53" s="1">
        <v>45.45</v>
      </c>
      <c r="G53" s="1" t="s">
        <v>22</v>
      </c>
      <c r="H53" s="2">
        <v>44981</v>
      </c>
      <c r="I53" s="1" t="s">
        <v>33</v>
      </c>
    </row>
    <row r="54" spans="1:9" x14ac:dyDescent="0.3">
      <c r="A54" s="1" t="s">
        <v>88</v>
      </c>
      <c r="B54" s="1" t="s">
        <v>10</v>
      </c>
      <c r="C54" s="1">
        <v>53</v>
      </c>
      <c r="D54" s="1" t="s">
        <v>32</v>
      </c>
      <c r="E54" s="1">
        <v>2</v>
      </c>
      <c r="F54" s="1">
        <v>81.319999999999993</v>
      </c>
      <c r="G54" s="1" t="s">
        <v>12</v>
      </c>
      <c r="H54" s="2">
        <v>44938</v>
      </c>
      <c r="I54" s="1" t="s">
        <v>33</v>
      </c>
    </row>
    <row r="55" spans="1:9" x14ac:dyDescent="0.3">
      <c r="A55" s="1" t="s">
        <v>89</v>
      </c>
      <c r="B55" s="1" t="s">
        <v>10</v>
      </c>
      <c r="C55" s="1">
        <v>43</v>
      </c>
      <c r="D55" s="1" t="s">
        <v>59</v>
      </c>
      <c r="E55" s="1">
        <v>4</v>
      </c>
      <c r="F55" s="1">
        <v>4200</v>
      </c>
      <c r="G55" s="1" t="s">
        <v>22</v>
      </c>
      <c r="H55" s="2">
        <v>44614</v>
      </c>
      <c r="I55" s="1" t="s">
        <v>23</v>
      </c>
    </row>
    <row r="56" spans="1:9" x14ac:dyDescent="0.3">
      <c r="A56" s="1" t="s">
        <v>90</v>
      </c>
      <c r="B56" s="1" t="s">
        <v>10</v>
      </c>
      <c r="C56" s="1">
        <v>45</v>
      </c>
      <c r="D56" s="1" t="s">
        <v>40</v>
      </c>
      <c r="E56" s="1">
        <v>3</v>
      </c>
      <c r="F56" s="1">
        <v>15.69</v>
      </c>
      <c r="G56" s="1" t="s">
        <v>18</v>
      </c>
      <c r="H56" s="2">
        <v>44267</v>
      </c>
      <c r="I56" s="1" t="s">
        <v>49</v>
      </c>
    </row>
    <row r="57" spans="1:9" x14ac:dyDescent="0.3">
      <c r="A57" s="1" t="s">
        <v>91</v>
      </c>
      <c r="B57" s="1" t="s">
        <v>10</v>
      </c>
      <c r="C57" s="1">
        <v>29</v>
      </c>
      <c r="D57" s="1" t="s">
        <v>11</v>
      </c>
      <c r="E57" s="1">
        <v>1</v>
      </c>
      <c r="F57" s="1">
        <v>300.08</v>
      </c>
      <c r="G57" s="1" t="s">
        <v>22</v>
      </c>
      <c r="H57" s="2">
        <v>44563</v>
      </c>
      <c r="I57" s="1" t="s">
        <v>33</v>
      </c>
    </row>
    <row r="58" spans="1:9" x14ac:dyDescent="0.3">
      <c r="A58" s="1" t="s">
        <v>92</v>
      </c>
      <c r="B58" s="1" t="s">
        <v>16</v>
      </c>
      <c r="C58" s="1">
        <v>43</v>
      </c>
      <c r="D58" s="1" t="s">
        <v>44</v>
      </c>
      <c r="E58" s="1">
        <v>2</v>
      </c>
      <c r="F58" s="1">
        <v>71.680000000000007</v>
      </c>
      <c r="G58" s="1" t="s">
        <v>22</v>
      </c>
      <c r="H58" s="2">
        <v>44526</v>
      </c>
      <c r="I58" s="1" t="s">
        <v>13</v>
      </c>
    </row>
    <row r="59" spans="1:9" x14ac:dyDescent="0.3">
      <c r="A59" s="1" t="s">
        <v>93</v>
      </c>
      <c r="B59" s="1" t="s">
        <v>10</v>
      </c>
      <c r="C59" s="1">
        <v>19</v>
      </c>
      <c r="D59" s="1" t="s">
        <v>11</v>
      </c>
      <c r="E59" s="1">
        <v>4</v>
      </c>
      <c r="F59" s="1">
        <v>1200.32</v>
      </c>
      <c r="G59" s="1" t="s">
        <v>12</v>
      </c>
      <c r="H59" s="2">
        <v>44307</v>
      </c>
      <c r="I59" s="1" t="s">
        <v>13</v>
      </c>
    </row>
    <row r="60" spans="1:9" x14ac:dyDescent="0.3">
      <c r="A60" s="1" t="s">
        <v>94</v>
      </c>
      <c r="B60" s="1" t="s">
        <v>10</v>
      </c>
      <c r="C60" s="1">
        <v>67</v>
      </c>
      <c r="D60" s="1" t="s">
        <v>40</v>
      </c>
      <c r="E60" s="1">
        <v>3</v>
      </c>
      <c r="F60" s="1">
        <v>15.69</v>
      </c>
      <c r="G60" s="1" t="s">
        <v>22</v>
      </c>
      <c r="H60" s="2">
        <v>44370</v>
      </c>
      <c r="I60" s="1" t="s">
        <v>13</v>
      </c>
    </row>
    <row r="61" spans="1:9" x14ac:dyDescent="0.3">
      <c r="A61" s="1" t="s">
        <v>95</v>
      </c>
      <c r="B61" s="1" t="s">
        <v>10</v>
      </c>
      <c r="C61" s="1">
        <v>36</v>
      </c>
      <c r="D61" s="1" t="s">
        <v>28</v>
      </c>
      <c r="E61" s="1">
        <v>4</v>
      </c>
      <c r="F61" s="1">
        <v>60.6</v>
      </c>
      <c r="G61" s="1" t="s">
        <v>22</v>
      </c>
      <c r="H61" s="2">
        <v>44544</v>
      </c>
      <c r="I61" s="1" t="s">
        <v>13</v>
      </c>
    </row>
    <row r="62" spans="1:9" x14ac:dyDescent="0.3">
      <c r="A62" s="1" t="s">
        <v>96</v>
      </c>
      <c r="B62" s="1" t="s">
        <v>16</v>
      </c>
      <c r="C62" s="1">
        <v>64</v>
      </c>
      <c r="D62" s="1" t="s">
        <v>11</v>
      </c>
      <c r="E62" s="1">
        <v>5</v>
      </c>
      <c r="F62" s="1">
        <v>1500.4</v>
      </c>
      <c r="G62" s="1" t="s">
        <v>12</v>
      </c>
      <c r="H62" s="2">
        <v>44721</v>
      </c>
      <c r="I62" s="1" t="s">
        <v>36</v>
      </c>
    </row>
    <row r="63" spans="1:9" x14ac:dyDescent="0.3">
      <c r="A63" s="1" t="s">
        <v>97</v>
      </c>
      <c r="B63" s="1" t="s">
        <v>10</v>
      </c>
      <c r="C63" s="1">
        <v>33</v>
      </c>
      <c r="D63" s="1" t="s">
        <v>11</v>
      </c>
      <c r="E63" s="1">
        <v>1</v>
      </c>
      <c r="F63" s="1">
        <v>300.08</v>
      </c>
      <c r="G63" s="1" t="s">
        <v>18</v>
      </c>
      <c r="H63" s="2">
        <v>44526</v>
      </c>
      <c r="I63" s="1" t="s">
        <v>13</v>
      </c>
    </row>
    <row r="64" spans="1:9" x14ac:dyDescent="0.3">
      <c r="A64" s="1" t="s">
        <v>98</v>
      </c>
      <c r="B64" s="1" t="s">
        <v>10</v>
      </c>
      <c r="C64" s="1">
        <v>33</v>
      </c>
      <c r="D64" s="1" t="s">
        <v>11</v>
      </c>
      <c r="E64" s="1">
        <v>4</v>
      </c>
      <c r="F64" s="1">
        <v>1200.32</v>
      </c>
      <c r="G64" s="1" t="s">
        <v>12</v>
      </c>
      <c r="H64" s="2">
        <v>44232</v>
      </c>
      <c r="I64" s="1" t="s">
        <v>13</v>
      </c>
    </row>
    <row r="65" spans="1:9" x14ac:dyDescent="0.3">
      <c r="A65" s="1" t="s">
        <v>99</v>
      </c>
      <c r="B65" s="1" t="s">
        <v>16</v>
      </c>
      <c r="C65" s="1">
        <v>66</v>
      </c>
      <c r="D65" s="1" t="s">
        <v>11</v>
      </c>
      <c r="E65" s="1">
        <v>4</v>
      </c>
      <c r="F65" s="1">
        <v>1200.32</v>
      </c>
      <c r="G65" s="1" t="s">
        <v>22</v>
      </c>
      <c r="H65" s="2">
        <v>44626</v>
      </c>
      <c r="I65" s="1" t="s">
        <v>36</v>
      </c>
    </row>
    <row r="66" spans="1:9" x14ac:dyDescent="0.3">
      <c r="A66" s="1" t="s">
        <v>100</v>
      </c>
      <c r="B66" s="1" t="s">
        <v>10</v>
      </c>
      <c r="C66" s="1">
        <v>29</v>
      </c>
      <c r="D66" s="1" t="s">
        <v>32</v>
      </c>
      <c r="E66" s="1">
        <v>4</v>
      </c>
      <c r="F66" s="1">
        <v>162.63999999999999</v>
      </c>
      <c r="G66" s="1" t="s">
        <v>18</v>
      </c>
      <c r="H66" s="2">
        <v>44690</v>
      </c>
      <c r="I66" s="1" t="s">
        <v>25</v>
      </c>
    </row>
    <row r="67" spans="1:9" x14ac:dyDescent="0.3">
      <c r="A67" s="1" t="s">
        <v>101</v>
      </c>
      <c r="B67" s="1" t="s">
        <v>16</v>
      </c>
      <c r="C67" s="1">
        <v>22</v>
      </c>
      <c r="D67" s="1" t="s">
        <v>44</v>
      </c>
      <c r="E67" s="1">
        <v>3</v>
      </c>
      <c r="F67" s="1">
        <v>107.52</v>
      </c>
      <c r="G67" s="1" t="s">
        <v>22</v>
      </c>
      <c r="H67" s="2">
        <v>44851</v>
      </c>
      <c r="I67" s="1" t="s">
        <v>36</v>
      </c>
    </row>
    <row r="68" spans="1:9" x14ac:dyDescent="0.3">
      <c r="A68" s="1" t="s">
        <v>102</v>
      </c>
      <c r="B68" s="1" t="s">
        <v>10</v>
      </c>
      <c r="C68" s="1">
        <v>63</v>
      </c>
      <c r="D68" s="1" t="s">
        <v>40</v>
      </c>
      <c r="E68" s="1">
        <v>3</v>
      </c>
      <c r="F68" s="1">
        <v>15.69</v>
      </c>
      <c r="G68" s="1" t="s">
        <v>22</v>
      </c>
      <c r="H68" s="2">
        <v>44583</v>
      </c>
      <c r="I68" s="1" t="s">
        <v>46</v>
      </c>
    </row>
    <row r="69" spans="1:9" x14ac:dyDescent="0.3">
      <c r="A69" s="1" t="s">
        <v>103</v>
      </c>
      <c r="B69" s="1" t="s">
        <v>10</v>
      </c>
      <c r="C69" s="1">
        <v>24</v>
      </c>
      <c r="D69" s="1" t="s">
        <v>104</v>
      </c>
      <c r="E69" s="1">
        <v>5</v>
      </c>
      <c r="F69" s="1">
        <v>58.65</v>
      </c>
      <c r="G69" s="1" t="s">
        <v>18</v>
      </c>
      <c r="H69" s="2">
        <v>44269</v>
      </c>
      <c r="I69" s="1" t="s">
        <v>33</v>
      </c>
    </row>
    <row r="70" spans="1:9" x14ac:dyDescent="0.3">
      <c r="A70" s="1" t="s">
        <v>105</v>
      </c>
      <c r="B70" s="1" t="s">
        <v>10</v>
      </c>
      <c r="C70" s="1">
        <v>24</v>
      </c>
      <c r="D70" s="1" t="s">
        <v>32</v>
      </c>
      <c r="E70" s="1">
        <v>5</v>
      </c>
      <c r="F70" s="1">
        <v>203.3</v>
      </c>
      <c r="G70" s="1" t="s">
        <v>22</v>
      </c>
      <c r="H70" s="2">
        <v>44678</v>
      </c>
      <c r="I70" s="1" t="s">
        <v>23</v>
      </c>
    </row>
    <row r="71" spans="1:9" x14ac:dyDescent="0.3">
      <c r="A71" s="1" t="s">
        <v>106</v>
      </c>
      <c r="B71" s="1" t="s">
        <v>10</v>
      </c>
      <c r="C71" s="1">
        <v>44</v>
      </c>
      <c r="D71" s="1" t="s">
        <v>59</v>
      </c>
      <c r="E71" s="1">
        <v>5</v>
      </c>
      <c r="F71" s="1">
        <v>5250</v>
      </c>
      <c r="G71" s="1" t="s">
        <v>12</v>
      </c>
      <c r="H71" s="2">
        <v>44519</v>
      </c>
      <c r="I71" s="1" t="s">
        <v>36</v>
      </c>
    </row>
    <row r="72" spans="1:9" x14ac:dyDescent="0.3">
      <c r="A72" s="1" t="s">
        <v>107</v>
      </c>
      <c r="B72" s="1" t="s">
        <v>16</v>
      </c>
      <c r="C72" s="1">
        <v>34</v>
      </c>
      <c r="D72" s="1" t="s">
        <v>17</v>
      </c>
      <c r="E72" s="1">
        <v>5</v>
      </c>
      <c r="F72" s="1">
        <v>3000.85</v>
      </c>
      <c r="G72" s="1" t="s">
        <v>22</v>
      </c>
      <c r="H72" s="2">
        <v>44814</v>
      </c>
      <c r="I72" s="1" t="s">
        <v>19</v>
      </c>
    </row>
    <row r="73" spans="1:9" x14ac:dyDescent="0.3">
      <c r="A73" s="1" t="s">
        <v>108</v>
      </c>
      <c r="B73" s="1" t="s">
        <v>10</v>
      </c>
      <c r="C73" s="1">
        <v>47</v>
      </c>
      <c r="D73" s="1" t="s">
        <v>32</v>
      </c>
      <c r="E73" s="1">
        <v>4</v>
      </c>
      <c r="F73" s="1">
        <v>162.63999999999999</v>
      </c>
      <c r="G73" s="1" t="s">
        <v>22</v>
      </c>
      <c r="H73" s="2">
        <v>44443</v>
      </c>
      <c r="I73" s="1" t="s">
        <v>13</v>
      </c>
    </row>
    <row r="74" spans="1:9" x14ac:dyDescent="0.3">
      <c r="A74" s="1" t="s">
        <v>109</v>
      </c>
      <c r="B74" s="1" t="s">
        <v>16</v>
      </c>
      <c r="C74" s="1">
        <v>38</v>
      </c>
      <c r="D74" s="1" t="s">
        <v>40</v>
      </c>
      <c r="E74" s="1">
        <v>5</v>
      </c>
      <c r="F74" s="1">
        <v>26.15</v>
      </c>
      <c r="G74" s="1" t="s">
        <v>22</v>
      </c>
      <c r="H74" s="2">
        <v>44794</v>
      </c>
      <c r="I74" s="1" t="s">
        <v>36</v>
      </c>
    </row>
    <row r="75" spans="1:9" x14ac:dyDescent="0.3">
      <c r="A75" s="1" t="s">
        <v>110</v>
      </c>
      <c r="B75" s="1" t="s">
        <v>10</v>
      </c>
      <c r="C75" s="1">
        <v>57</v>
      </c>
      <c r="D75" s="1" t="s">
        <v>17</v>
      </c>
      <c r="E75" s="1">
        <v>5</v>
      </c>
      <c r="F75" s="1">
        <v>3000.85</v>
      </c>
      <c r="G75" s="1" t="s">
        <v>18</v>
      </c>
      <c r="H75" s="2">
        <v>44471</v>
      </c>
      <c r="I75" s="1" t="s">
        <v>42</v>
      </c>
    </row>
    <row r="76" spans="1:9" x14ac:dyDescent="0.3">
      <c r="A76" s="1" t="s">
        <v>111</v>
      </c>
      <c r="B76" s="1" t="s">
        <v>16</v>
      </c>
      <c r="C76" s="1">
        <v>67</v>
      </c>
      <c r="D76" s="1" t="s">
        <v>44</v>
      </c>
      <c r="E76" s="1">
        <v>3</v>
      </c>
      <c r="F76" s="1">
        <v>107.52</v>
      </c>
      <c r="G76" s="1" t="s">
        <v>22</v>
      </c>
      <c r="H76" s="2">
        <v>44933</v>
      </c>
      <c r="I76" s="1" t="s">
        <v>42</v>
      </c>
    </row>
    <row r="77" spans="1:9" x14ac:dyDescent="0.3">
      <c r="A77" s="1" t="s">
        <v>112</v>
      </c>
      <c r="B77" s="1" t="s">
        <v>16</v>
      </c>
      <c r="C77" s="1">
        <v>41</v>
      </c>
      <c r="D77" s="1" t="s">
        <v>104</v>
      </c>
      <c r="E77" s="1">
        <v>3</v>
      </c>
      <c r="F77" s="1">
        <v>35.19</v>
      </c>
      <c r="G77" s="1" t="s">
        <v>12</v>
      </c>
      <c r="H77" s="2">
        <v>44355</v>
      </c>
      <c r="I77" s="1" t="s">
        <v>46</v>
      </c>
    </row>
    <row r="78" spans="1:9" x14ac:dyDescent="0.3">
      <c r="A78" s="1" t="s">
        <v>113</v>
      </c>
      <c r="B78" s="1" t="s">
        <v>10</v>
      </c>
      <c r="C78" s="1">
        <v>40</v>
      </c>
      <c r="D78" s="1" t="s">
        <v>11</v>
      </c>
      <c r="E78" s="1">
        <v>5</v>
      </c>
      <c r="F78" s="1">
        <v>1500.4</v>
      </c>
      <c r="G78" s="1" t="s">
        <v>18</v>
      </c>
      <c r="H78" s="2">
        <v>44303</v>
      </c>
      <c r="I78" s="1" t="s">
        <v>13</v>
      </c>
    </row>
    <row r="79" spans="1:9" x14ac:dyDescent="0.3">
      <c r="A79" s="1" t="s">
        <v>114</v>
      </c>
      <c r="B79" s="1" t="s">
        <v>10</v>
      </c>
      <c r="C79" s="1">
        <v>69</v>
      </c>
      <c r="D79" s="1" t="s">
        <v>17</v>
      </c>
      <c r="E79" s="1">
        <v>4</v>
      </c>
      <c r="F79" s="1">
        <v>2400.6799999999998</v>
      </c>
      <c r="G79" s="1" t="s">
        <v>22</v>
      </c>
      <c r="H79" s="2">
        <v>44443</v>
      </c>
      <c r="I79" s="1" t="s">
        <v>23</v>
      </c>
    </row>
    <row r="80" spans="1:9" x14ac:dyDescent="0.3">
      <c r="A80" s="1" t="s">
        <v>115</v>
      </c>
      <c r="B80" s="1" t="s">
        <v>10</v>
      </c>
      <c r="C80" s="1">
        <v>47</v>
      </c>
      <c r="D80" s="1" t="s">
        <v>40</v>
      </c>
      <c r="E80" s="1">
        <v>5</v>
      </c>
      <c r="F80" s="1">
        <v>26.15</v>
      </c>
      <c r="G80" s="1" t="s">
        <v>22</v>
      </c>
      <c r="H80" s="2">
        <v>44762</v>
      </c>
      <c r="I80" s="1" t="s">
        <v>36</v>
      </c>
    </row>
    <row r="81" spans="1:9" x14ac:dyDescent="0.3">
      <c r="A81" s="1" t="s">
        <v>116</v>
      </c>
      <c r="B81" s="1" t="s">
        <v>10</v>
      </c>
      <c r="C81" s="1">
        <v>53</v>
      </c>
      <c r="D81" s="1" t="s">
        <v>40</v>
      </c>
      <c r="E81" s="1">
        <v>4</v>
      </c>
      <c r="F81" s="1">
        <v>20.92</v>
      </c>
      <c r="G81" s="1" t="s">
        <v>12</v>
      </c>
      <c r="H81" s="2">
        <v>44391</v>
      </c>
      <c r="I81" s="1" t="s">
        <v>33</v>
      </c>
    </row>
    <row r="82" spans="1:9" x14ac:dyDescent="0.3">
      <c r="A82" s="1" t="s">
        <v>117</v>
      </c>
      <c r="B82" s="1" t="s">
        <v>16</v>
      </c>
      <c r="C82" s="1">
        <v>40</v>
      </c>
      <c r="D82" s="1" t="s">
        <v>44</v>
      </c>
      <c r="E82" s="1">
        <v>2</v>
      </c>
      <c r="F82" s="1">
        <v>71.680000000000007</v>
      </c>
      <c r="G82" s="1" t="s">
        <v>22</v>
      </c>
      <c r="H82" s="2">
        <v>44866</v>
      </c>
      <c r="I82" s="1" t="s">
        <v>42</v>
      </c>
    </row>
    <row r="83" spans="1:9" x14ac:dyDescent="0.3">
      <c r="A83" s="1" t="s">
        <v>118</v>
      </c>
      <c r="B83" s="1" t="s">
        <v>16</v>
      </c>
      <c r="C83" s="1">
        <v>60</v>
      </c>
      <c r="D83" s="1" t="s">
        <v>32</v>
      </c>
      <c r="E83" s="1">
        <v>4</v>
      </c>
      <c r="F83" s="1">
        <v>162.63999999999999</v>
      </c>
      <c r="G83" s="1" t="s">
        <v>12</v>
      </c>
      <c r="H83" s="2">
        <v>44932</v>
      </c>
      <c r="I83" s="1" t="s">
        <v>23</v>
      </c>
    </row>
    <row r="84" spans="1:9" x14ac:dyDescent="0.3">
      <c r="A84" s="1" t="s">
        <v>119</v>
      </c>
      <c r="B84" s="1" t="s">
        <v>16</v>
      </c>
      <c r="C84" s="1">
        <v>30</v>
      </c>
      <c r="D84" s="1" t="s">
        <v>104</v>
      </c>
      <c r="E84" s="1">
        <v>2</v>
      </c>
      <c r="F84" s="1">
        <v>23.46</v>
      </c>
      <c r="G84" s="1" t="s">
        <v>22</v>
      </c>
      <c r="H84" s="2">
        <v>44280</v>
      </c>
      <c r="I84" s="1" t="s">
        <v>13</v>
      </c>
    </row>
    <row r="85" spans="1:9" x14ac:dyDescent="0.3">
      <c r="A85" s="1" t="s">
        <v>120</v>
      </c>
      <c r="B85" s="1" t="s">
        <v>10</v>
      </c>
      <c r="C85" s="1">
        <v>66</v>
      </c>
      <c r="D85" s="1" t="s">
        <v>11</v>
      </c>
      <c r="E85" s="1">
        <v>2</v>
      </c>
      <c r="F85" s="1">
        <v>600.16</v>
      </c>
      <c r="G85" s="1" t="s">
        <v>12</v>
      </c>
      <c r="H85" s="2">
        <v>44812</v>
      </c>
      <c r="I85" s="1" t="s">
        <v>33</v>
      </c>
    </row>
    <row r="86" spans="1:9" x14ac:dyDescent="0.3">
      <c r="A86" s="1" t="s">
        <v>121</v>
      </c>
      <c r="B86" s="1" t="s">
        <v>16</v>
      </c>
      <c r="C86" s="1">
        <v>22</v>
      </c>
      <c r="D86" s="1" t="s">
        <v>40</v>
      </c>
      <c r="E86" s="1">
        <v>1</v>
      </c>
      <c r="F86" s="1">
        <v>5.23</v>
      </c>
      <c r="G86" s="1" t="s">
        <v>22</v>
      </c>
      <c r="H86" s="2">
        <v>44610</v>
      </c>
      <c r="I86" s="1" t="s">
        <v>36</v>
      </c>
    </row>
    <row r="87" spans="1:9" x14ac:dyDescent="0.3">
      <c r="A87" s="1" t="s">
        <v>122</v>
      </c>
      <c r="B87" s="1" t="s">
        <v>16</v>
      </c>
      <c r="C87" s="1">
        <v>53</v>
      </c>
      <c r="D87" s="1" t="s">
        <v>40</v>
      </c>
      <c r="E87" s="1">
        <v>2</v>
      </c>
      <c r="F87" s="1">
        <v>10.46</v>
      </c>
      <c r="G87" s="1" t="s">
        <v>22</v>
      </c>
      <c r="H87" s="2">
        <v>44308</v>
      </c>
      <c r="I87" s="1" t="s">
        <v>13</v>
      </c>
    </row>
    <row r="88" spans="1:9" x14ac:dyDescent="0.3">
      <c r="A88" s="1" t="s">
        <v>123</v>
      </c>
      <c r="B88" s="1" t="s">
        <v>10</v>
      </c>
      <c r="C88" s="1">
        <v>52</v>
      </c>
      <c r="D88" s="1" t="s">
        <v>11</v>
      </c>
      <c r="E88" s="1">
        <v>5</v>
      </c>
      <c r="F88" s="1">
        <v>1500.4</v>
      </c>
      <c r="G88" s="1" t="s">
        <v>22</v>
      </c>
      <c r="H88" s="2">
        <v>44849</v>
      </c>
      <c r="I88" s="1" t="s">
        <v>52</v>
      </c>
    </row>
    <row r="89" spans="1:9" x14ac:dyDescent="0.3">
      <c r="A89" s="1" t="s">
        <v>124</v>
      </c>
      <c r="B89" s="1" t="s">
        <v>16</v>
      </c>
      <c r="C89" s="1">
        <v>26</v>
      </c>
      <c r="D89" s="1" t="s">
        <v>17</v>
      </c>
      <c r="E89" s="1">
        <v>5</v>
      </c>
      <c r="F89" s="1">
        <v>3000.85</v>
      </c>
      <c r="G89" s="1" t="s">
        <v>22</v>
      </c>
      <c r="H89" s="2">
        <v>44658</v>
      </c>
      <c r="I89" s="1" t="s">
        <v>36</v>
      </c>
    </row>
    <row r="90" spans="1:9" x14ac:dyDescent="0.3">
      <c r="A90" s="1" t="s">
        <v>125</v>
      </c>
      <c r="B90" s="1" t="s">
        <v>16</v>
      </c>
      <c r="C90" s="1">
        <v>66</v>
      </c>
      <c r="D90" s="1" t="s">
        <v>40</v>
      </c>
      <c r="E90" s="1">
        <v>1</v>
      </c>
      <c r="F90" s="1">
        <v>5.23</v>
      </c>
      <c r="G90" s="1" t="s">
        <v>22</v>
      </c>
      <c r="H90" s="2">
        <v>44719</v>
      </c>
      <c r="I90" s="1" t="s">
        <v>36</v>
      </c>
    </row>
    <row r="91" spans="1:9" x14ac:dyDescent="0.3">
      <c r="A91" s="1" t="s">
        <v>126</v>
      </c>
      <c r="B91" s="1" t="s">
        <v>16</v>
      </c>
      <c r="C91" s="1">
        <v>65</v>
      </c>
      <c r="D91" s="1" t="s">
        <v>11</v>
      </c>
      <c r="E91" s="1">
        <v>4</v>
      </c>
      <c r="F91" s="1">
        <v>1200.32</v>
      </c>
      <c r="G91" s="1" t="s">
        <v>18</v>
      </c>
      <c r="H91" s="2">
        <v>44948</v>
      </c>
      <c r="I91" s="1" t="s">
        <v>25</v>
      </c>
    </row>
    <row r="92" spans="1:9" x14ac:dyDescent="0.3">
      <c r="A92" s="1" t="s">
        <v>127</v>
      </c>
      <c r="B92" s="1" t="s">
        <v>10</v>
      </c>
      <c r="C92" s="1">
        <v>43</v>
      </c>
      <c r="D92" s="1" t="s">
        <v>59</v>
      </c>
      <c r="E92" s="1">
        <v>2</v>
      </c>
      <c r="F92" s="1">
        <v>2100</v>
      </c>
      <c r="G92" s="1" t="s">
        <v>22</v>
      </c>
      <c r="H92" s="2">
        <v>44795</v>
      </c>
      <c r="I92" s="1" t="s">
        <v>13</v>
      </c>
    </row>
    <row r="93" spans="1:9" x14ac:dyDescent="0.3">
      <c r="A93" s="1" t="s">
        <v>128</v>
      </c>
      <c r="B93" s="1" t="s">
        <v>10</v>
      </c>
      <c r="C93" s="1">
        <v>59</v>
      </c>
      <c r="D93" s="1" t="s">
        <v>44</v>
      </c>
      <c r="E93" s="1">
        <v>1</v>
      </c>
      <c r="F93" s="1">
        <v>35.840000000000003</v>
      </c>
      <c r="G93" s="1" t="s">
        <v>18</v>
      </c>
      <c r="H93" s="2">
        <v>44472</v>
      </c>
      <c r="I93" s="1" t="s">
        <v>13</v>
      </c>
    </row>
    <row r="94" spans="1:9" x14ac:dyDescent="0.3">
      <c r="A94" s="1" t="s">
        <v>129</v>
      </c>
      <c r="B94" s="1" t="s">
        <v>10</v>
      </c>
      <c r="C94" s="1">
        <v>30</v>
      </c>
      <c r="D94" s="1" t="s">
        <v>104</v>
      </c>
      <c r="E94" s="1">
        <v>5</v>
      </c>
      <c r="F94" s="1">
        <v>58.65</v>
      </c>
      <c r="G94" s="1" t="s">
        <v>18</v>
      </c>
      <c r="H94" s="2">
        <v>44406</v>
      </c>
      <c r="I94" s="1" t="s">
        <v>13</v>
      </c>
    </row>
    <row r="95" spans="1:9" x14ac:dyDescent="0.3">
      <c r="A95" s="1" t="s">
        <v>130</v>
      </c>
      <c r="B95" s="1" t="s">
        <v>10</v>
      </c>
      <c r="C95" s="1">
        <v>25</v>
      </c>
      <c r="D95" s="1" t="s">
        <v>32</v>
      </c>
      <c r="E95" s="1">
        <v>2</v>
      </c>
      <c r="F95" s="1">
        <v>81.319999999999993</v>
      </c>
      <c r="G95" s="1" t="s">
        <v>18</v>
      </c>
      <c r="H95" s="2">
        <v>44911</v>
      </c>
      <c r="I95" s="1" t="s">
        <v>23</v>
      </c>
    </row>
    <row r="96" spans="1:9" x14ac:dyDescent="0.3">
      <c r="A96" s="1" t="s">
        <v>131</v>
      </c>
      <c r="B96" s="1" t="s">
        <v>10</v>
      </c>
      <c r="C96" s="1">
        <v>29</v>
      </c>
      <c r="D96" s="1" t="s">
        <v>44</v>
      </c>
      <c r="E96" s="1">
        <v>3</v>
      </c>
      <c r="F96" s="1">
        <v>107.52</v>
      </c>
      <c r="G96" s="1" t="s">
        <v>18</v>
      </c>
      <c r="H96" s="2">
        <v>44350</v>
      </c>
      <c r="I96" s="1" t="s">
        <v>36</v>
      </c>
    </row>
    <row r="97" spans="1:9" x14ac:dyDescent="0.3">
      <c r="A97" s="1" t="s">
        <v>132</v>
      </c>
      <c r="B97" s="1" t="s">
        <v>10</v>
      </c>
      <c r="C97" s="1">
        <v>19</v>
      </c>
      <c r="D97" s="1" t="s">
        <v>11</v>
      </c>
      <c r="E97" s="1">
        <v>2</v>
      </c>
      <c r="F97" s="1">
        <v>600.16</v>
      </c>
      <c r="G97" s="1" t="s">
        <v>18</v>
      </c>
      <c r="H97" s="2">
        <v>44547</v>
      </c>
      <c r="I97" s="1" t="s">
        <v>46</v>
      </c>
    </row>
    <row r="98" spans="1:9" x14ac:dyDescent="0.3">
      <c r="A98" s="1" t="s">
        <v>133</v>
      </c>
      <c r="B98" s="1" t="s">
        <v>16</v>
      </c>
      <c r="C98" s="1">
        <v>62</v>
      </c>
      <c r="D98" s="1" t="s">
        <v>11</v>
      </c>
      <c r="E98" s="1">
        <v>5</v>
      </c>
      <c r="F98" s="1">
        <v>1500.4</v>
      </c>
      <c r="G98" s="1" t="s">
        <v>12</v>
      </c>
      <c r="H98" s="2">
        <v>44926</v>
      </c>
      <c r="I98" s="1" t="s">
        <v>25</v>
      </c>
    </row>
    <row r="99" spans="1:9" x14ac:dyDescent="0.3">
      <c r="A99" s="1" t="s">
        <v>134</v>
      </c>
      <c r="B99" s="1" t="s">
        <v>16</v>
      </c>
      <c r="C99" s="1">
        <v>39</v>
      </c>
      <c r="D99" s="1" t="s">
        <v>40</v>
      </c>
      <c r="E99" s="1">
        <v>3</v>
      </c>
      <c r="F99" s="1">
        <v>15.69</v>
      </c>
      <c r="G99" s="1" t="s">
        <v>22</v>
      </c>
      <c r="H99" s="2">
        <v>44782</v>
      </c>
      <c r="I99" s="1" t="s">
        <v>19</v>
      </c>
    </row>
    <row r="100" spans="1:9" x14ac:dyDescent="0.3">
      <c r="A100" s="1" t="s">
        <v>135</v>
      </c>
      <c r="B100" s="1" t="s">
        <v>10</v>
      </c>
      <c r="C100" s="1">
        <v>33</v>
      </c>
      <c r="D100" s="1" t="s">
        <v>11</v>
      </c>
      <c r="E100" s="1">
        <v>3</v>
      </c>
      <c r="F100" s="1">
        <v>900.24</v>
      </c>
      <c r="G100" s="1" t="s">
        <v>22</v>
      </c>
      <c r="H100" s="2">
        <v>44773</v>
      </c>
      <c r="I100" s="1" t="s">
        <v>13</v>
      </c>
    </row>
    <row r="101" spans="1:9" x14ac:dyDescent="0.3">
      <c r="A101" s="1" t="s">
        <v>136</v>
      </c>
      <c r="B101" s="1" t="s">
        <v>10</v>
      </c>
      <c r="C101" s="1">
        <v>26</v>
      </c>
      <c r="D101" s="1" t="s">
        <v>40</v>
      </c>
      <c r="E101" s="1">
        <v>4</v>
      </c>
      <c r="F101" s="1">
        <v>20.92</v>
      </c>
      <c r="G101" s="1" t="s">
        <v>18</v>
      </c>
      <c r="H101" s="2">
        <v>44320</v>
      </c>
      <c r="I101" s="1" t="s">
        <v>36</v>
      </c>
    </row>
    <row r="102" spans="1:9" x14ac:dyDescent="0.3">
      <c r="A102" s="1" t="s">
        <v>137</v>
      </c>
      <c r="B102" s="1" t="s">
        <v>16</v>
      </c>
      <c r="C102" s="1">
        <v>43</v>
      </c>
      <c r="D102" s="1" t="s">
        <v>59</v>
      </c>
      <c r="E102" s="1">
        <v>3</v>
      </c>
      <c r="F102" s="1">
        <v>3150</v>
      </c>
      <c r="G102" s="1" t="s">
        <v>12</v>
      </c>
      <c r="H102" s="2">
        <v>44706</v>
      </c>
      <c r="I102" s="1" t="s">
        <v>49</v>
      </c>
    </row>
    <row r="103" spans="1:9" x14ac:dyDescent="0.3">
      <c r="A103" s="1" t="s">
        <v>138</v>
      </c>
      <c r="B103" s="1" t="s">
        <v>10</v>
      </c>
      <c r="C103" s="1">
        <v>40</v>
      </c>
      <c r="D103" s="1" t="s">
        <v>40</v>
      </c>
      <c r="E103" s="1">
        <v>3</v>
      </c>
      <c r="F103" s="1">
        <v>15.69</v>
      </c>
      <c r="G103" s="1" t="s">
        <v>18</v>
      </c>
      <c r="H103" s="2">
        <v>44918</v>
      </c>
      <c r="I103" s="1" t="s">
        <v>13</v>
      </c>
    </row>
    <row r="104" spans="1:9" x14ac:dyDescent="0.3">
      <c r="A104" s="1" t="s">
        <v>139</v>
      </c>
      <c r="B104" s="1" t="s">
        <v>16</v>
      </c>
      <c r="C104" s="1">
        <v>55</v>
      </c>
      <c r="D104" s="1" t="s">
        <v>11</v>
      </c>
      <c r="E104" s="1">
        <v>4</v>
      </c>
      <c r="F104" s="1">
        <v>1200.32</v>
      </c>
      <c r="G104" s="1" t="s">
        <v>12</v>
      </c>
      <c r="H104" s="2">
        <v>44950</v>
      </c>
      <c r="I104" s="1" t="s">
        <v>13</v>
      </c>
    </row>
    <row r="105" spans="1:9" x14ac:dyDescent="0.3">
      <c r="A105" s="1" t="s">
        <v>140</v>
      </c>
      <c r="B105" s="1" t="s">
        <v>10</v>
      </c>
      <c r="C105" s="1">
        <v>24</v>
      </c>
      <c r="D105" s="1" t="s">
        <v>11</v>
      </c>
      <c r="E105" s="1">
        <v>5</v>
      </c>
      <c r="F105" s="1">
        <v>1500.4</v>
      </c>
      <c r="G105" s="1" t="s">
        <v>12</v>
      </c>
      <c r="H105" s="2">
        <v>44453</v>
      </c>
      <c r="I105" s="1" t="s">
        <v>49</v>
      </c>
    </row>
    <row r="106" spans="1:9" x14ac:dyDescent="0.3">
      <c r="A106" s="1" t="s">
        <v>141</v>
      </c>
      <c r="B106" s="1" t="s">
        <v>16</v>
      </c>
      <c r="C106" s="1">
        <v>24</v>
      </c>
      <c r="D106" s="1" t="s">
        <v>32</v>
      </c>
      <c r="E106" s="1">
        <v>1</v>
      </c>
      <c r="F106" s="1">
        <v>40.659999999999997</v>
      </c>
      <c r="G106" s="1" t="s">
        <v>22</v>
      </c>
      <c r="H106" s="2">
        <v>44596</v>
      </c>
      <c r="I106" s="1" t="s">
        <v>23</v>
      </c>
    </row>
    <row r="107" spans="1:9" x14ac:dyDescent="0.3">
      <c r="A107" s="1" t="s">
        <v>142</v>
      </c>
      <c r="B107" s="1" t="s">
        <v>10</v>
      </c>
      <c r="C107" s="1">
        <v>30</v>
      </c>
      <c r="D107" s="1" t="s">
        <v>40</v>
      </c>
      <c r="E107" s="1">
        <v>5</v>
      </c>
      <c r="F107" s="1">
        <v>26.15</v>
      </c>
      <c r="G107" s="1" t="s">
        <v>12</v>
      </c>
      <c r="H107" s="2">
        <v>44567</v>
      </c>
      <c r="I107" s="1" t="s">
        <v>23</v>
      </c>
    </row>
    <row r="108" spans="1:9" x14ac:dyDescent="0.3">
      <c r="A108" s="1" t="s">
        <v>143</v>
      </c>
      <c r="B108" s="1" t="s">
        <v>16</v>
      </c>
      <c r="C108" s="1">
        <v>34</v>
      </c>
      <c r="D108" s="1" t="s">
        <v>11</v>
      </c>
      <c r="E108" s="1">
        <v>5</v>
      </c>
      <c r="F108" s="1">
        <v>1500.4</v>
      </c>
      <c r="G108" s="1" t="s">
        <v>12</v>
      </c>
      <c r="H108" s="2">
        <v>44593</v>
      </c>
      <c r="I108" s="1" t="s">
        <v>36</v>
      </c>
    </row>
    <row r="109" spans="1:9" x14ac:dyDescent="0.3">
      <c r="A109" s="1" t="s">
        <v>144</v>
      </c>
      <c r="B109" s="1" t="s">
        <v>10</v>
      </c>
      <c r="C109" s="1">
        <v>64</v>
      </c>
      <c r="D109" s="1" t="s">
        <v>11</v>
      </c>
      <c r="E109" s="1">
        <v>5</v>
      </c>
      <c r="F109" s="1">
        <v>1500.4</v>
      </c>
      <c r="G109" s="1" t="s">
        <v>22</v>
      </c>
      <c r="H109" s="2">
        <v>44860</v>
      </c>
      <c r="I109" s="1" t="s">
        <v>46</v>
      </c>
    </row>
    <row r="110" spans="1:9" x14ac:dyDescent="0.3">
      <c r="A110" s="1" t="s">
        <v>145</v>
      </c>
      <c r="B110" s="1" t="s">
        <v>10</v>
      </c>
      <c r="C110" s="1">
        <v>57</v>
      </c>
      <c r="D110" s="1" t="s">
        <v>11</v>
      </c>
      <c r="E110" s="1">
        <v>5</v>
      </c>
      <c r="F110" s="1">
        <v>1500.4</v>
      </c>
      <c r="G110" s="1" t="s">
        <v>22</v>
      </c>
      <c r="H110" s="2">
        <v>44825</v>
      </c>
      <c r="I110" s="1" t="s">
        <v>36</v>
      </c>
    </row>
    <row r="111" spans="1:9" x14ac:dyDescent="0.3">
      <c r="A111" s="1" t="s">
        <v>146</v>
      </c>
      <c r="B111" s="1" t="s">
        <v>16</v>
      </c>
      <c r="C111" s="1">
        <v>18</v>
      </c>
      <c r="D111" s="1" t="s">
        <v>32</v>
      </c>
      <c r="E111" s="1">
        <v>4</v>
      </c>
      <c r="F111" s="1">
        <v>162.63999999999999</v>
      </c>
      <c r="G111" s="1" t="s">
        <v>12</v>
      </c>
      <c r="H111" s="2">
        <v>44542</v>
      </c>
      <c r="I111" s="1" t="s">
        <v>33</v>
      </c>
    </row>
    <row r="112" spans="1:9" x14ac:dyDescent="0.3">
      <c r="A112" s="1" t="s">
        <v>147</v>
      </c>
      <c r="B112" s="1" t="s">
        <v>10</v>
      </c>
      <c r="C112" s="1">
        <v>26</v>
      </c>
      <c r="D112" s="1" t="s">
        <v>11</v>
      </c>
      <c r="E112" s="1">
        <v>4</v>
      </c>
      <c r="F112" s="1">
        <v>1200.32</v>
      </c>
      <c r="G112" s="1" t="s">
        <v>22</v>
      </c>
      <c r="H112" s="2">
        <v>44429</v>
      </c>
      <c r="I112" s="1" t="s">
        <v>52</v>
      </c>
    </row>
    <row r="113" spans="1:9" x14ac:dyDescent="0.3">
      <c r="A113" s="1" t="s">
        <v>148</v>
      </c>
      <c r="B113" s="1" t="s">
        <v>10</v>
      </c>
      <c r="C113" s="1">
        <v>19</v>
      </c>
      <c r="D113" s="1" t="s">
        <v>40</v>
      </c>
      <c r="E113" s="1">
        <v>3</v>
      </c>
      <c r="F113" s="1">
        <v>15.69</v>
      </c>
      <c r="G113" s="1" t="s">
        <v>18</v>
      </c>
      <c r="H113" s="2">
        <v>44477</v>
      </c>
      <c r="I113" s="1" t="s">
        <v>42</v>
      </c>
    </row>
    <row r="114" spans="1:9" x14ac:dyDescent="0.3">
      <c r="A114" s="1" t="s">
        <v>149</v>
      </c>
      <c r="B114" s="1" t="s">
        <v>10</v>
      </c>
      <c r="C114" s="1">
        <v>22</v>
      </c>
      <c r="D114" s="1" t="s">
        <v>28</v>
      </c>
      <c r="E114" s="1">
        <v>3</v>
      </c>
      <c r="F114" s="1">
        <v>45.45</v>
      </c>
      <c r="G114" s="1" t="s">
        <v>22</v>
      </c>
      <c r="H114" s="2">
        <v>44522</v>
      </c>
      <c r="I114" s="1" t="s">
        <v>13</v>
      </c>
    </row>
    <row r="115" spans="1:9" x14ac:dyDescent="0.3">
      <c r="A115" s="1" t="s">
        <v>150</v>
      </c>
      <c r="B115" s="1" t="s">
        <v>16</v>
      </c>
      <c r="C115" s="1">
        <v>48</v>
      </c>
      <c r="D115" s="1" t="s">
        <v>11</v>
      </c>
      <c r="E115" s="1">
        <v>1</v>
      </c>
      <c r="F115" s="1">
        <v>300.08</v>
      </c>
      <c r="G115" s="1" t="s">
        <v>22</v>
      </c>
      <c r="H115" s="2">
        <v>44639</v>
      </c>
      <c r="I115" s="1" t="s">
        <v>13</v>
      </c>
    </row>
    <row r="116" spans="1:9" x14ac:dyDescent="0.3">
      <c r="A116" s="1" t="s">
        <v>151</v>
      </c>
      <c r="B116" s="1" t="s">
        <v>10</v>
      </c>
      <c r="C116" s="1">
        <v>56</v>
      </c>
      <c r="D116" s="1" t="s">
        <v>104</v>
      </c>
      <c r="E116" s="1">
        <v>5</v>
      </c>
      <c r="F116" s="1">
        <v>58.65</v>
      </c>
      <c r="G116" s="1" t="s">
        <v>22</v>
      </c>
      <c r="H116" s="2">
        <v>44853</v>
      </c>
      <c r="I116" s="1" t="s">
        <v>33</v>
      </c>
    </row>
    <row r="117" spans="1:9" x14ac:dyDescent="0.3">
      <c r="A117" s="1" t="s">
        <v>152</v>
      </c>
      <c r="B117" s="1" t="s">
        <v>16</v>
      </c>
      <c r="C117" s="1">
        <v>35</v>
      </c>
      <c r="D117" s="1" t="s">
        <v>11</v>
      </c>
      <c r="E117" s="1">
        <v>2</v>
      </c>
      <c r="F117" s="1">
        <v>600.16</v>
      </c>
      <c r="G117" s="1" t="s">
        <v>22</v>
      </c>
      <c r="H117" s="2">
        <v>44573</v>
      </c>
      <c r="I117" s="1" t="s">
        <v>49</v>
      </c>
    </row>
    <row r="118" spans="1:9" x14ac:dyDescent="0.3">
      <c r="A118" s="1" t="s">
        <v>153</v>
      </c>
      <c r="B118" s="1" t="s">
        <v>10</v>
      </c>
      <c r="C118" s="1">
        <v>60</v>
      </c>
      <c r="D118" s="1" t="s">
        <v>44</v>
      </c>
      <c r="E118" s="1">
        <v>4</v>
      </c>
      <c r="F118" s="1">
        <v>143.36000000000001</v>
      </c>
      <c r="G118" s="1" t="s">
        <v>18</v>
      </c>
      <c r="H118" s="2">
        <v>44354</v>
      </c>
      <c r="I118" s="1" t="s">
        <v>23</v>
      </c>
    </row>
    <row r="119" spans="1:9" x14ac:dyDescent="0.3">
      <c r="A119" s="1" t="s">
        <v>154</v>
      </c>
      <c r="B119" s="1" t="s">
        <v>10</v>
      </c>
      <c r="C119" s="1">
        <v>32</v>
      </c>
      <c r="D119" s="1" t="s">
        <v>11</v>
      </c>
      <c r="E119" s="1">
        <v>1</v>
      </c>
      <c r="F119" s="1">
        <v>300.08</v>
      </c>
      <c r="G119" s="1" t="s">
        <v>12</v>
      </c>
      <c r="H119" s="2">
        <v>44941</v>
      </c>
      <c r="I119" s="1" t="s">
        <v>19</v>
      </c>
    </row>
    <row r="120" spans="1:9" x14ac:dyDescent="0.3">
      <c r="A120" s="1" t="s">
        <v>155</v>
      </c>
      <c r="B120" s="1" t="s">
        <v>16</v>
      </c>
      <c r="C120" s="1">
        <v>27</v>
      </c>
      <c r="D120" s="1" t="s">
        <v>11</v>
      </c>
      <c r="E120" s="1">
        <v>4</v>
      </c>
      <c r="F120" s="1">
        <v>1200.32</v>
      </c>
      <c r="G120" s="1" t="s">
        <v>12</v>
      </c>
      <c r="H120" s="2">
        <v>44511</v>
      </c>
      <c r="I120" s="1" t="s">
        <v>13</v>
      </c>
    </row>
    <row r="121" spans="1:9" x14ac:dyDescent="0.3">
      <c r="A121" s="1" t="s">
        <v>156</v>
      </c>
      <c r="B121" s="1" t="s">
        <v>10</v>
      </c>
      <c r="C121" s="1">
        <v>56</v>
      </c>
      <c r="D121" s="1" t="s">
        <v>11</v>
      </c>
      <c r="E121" s="1">
        <v>2</v>
      </c>
      <c r="F121" s="1">
        <v>600.16</v>
      </c>
      <c r="G121" s="1" t="s">
        <v>12</v>
      </c>
      <c r="H121" s="2">
        <v>44825</v>
      </c>
      <c r="I121" s="1" t="s">
        <v>33</v>
      </c>
    </row>
    <row r="122" spans="1:9" x14ac:dyDescent="0.3">
      <c r="A122" s="1" t="s">
        <v>157</v>
      </c>
      <c r="B122" s="1" t="s">
        <v>16</v>
      </c>
      <c r="C122" s="1">
        <v>35</v>
      </c>
      <c r="D122" s="1" t="s">
        <v>32</v>
      </c>
      <c r="E122" s="1">
        <v>4</v>
      </c>
      <c r="F122" s="1">
        <v>162.63999999999999</v>
      </c>
      <c r="G122" s="1" t="s">
        <v>18</v>
      </c>
      <c r="H122" s="2">
        <v>44346</v>
      </c>
      <c r="I122" s="1" t="s">
        <v>23</v>
      </c>
    </row>
    <row r="123" spans="1:9" x14ac:dyDescent="0.3">
      <c r="A123" s="1" t="s">
        <v>158</v>
      </c>
      <c r="B123" s="1" t="s">
        <v>10</v>
      </c>
      <c r="C123" s="1">
        <v>68</v>
      </c>
      <c r="D123" s="1" t="s">
        <v>11</v>
      </c>
      <c r="E123" s="1">
        <v>1</v>
      </c>
      <c r="F123" s="1">
        <v>300.08</v>
      </c>
      <c r="G123" s="1" t="s">
        <v>12</v>
      </c>
      <c r="H123" s="2">
        <v>44553</v>
      </c>
      <c r="I123" s="1" t="s">
        <v>25</v>
      </c>
    </row>
    <row r="124" spans="1:9" x14ac:dyDescent="0.3">
      <c r="A124" s="1" t="s">
        <v>159</v>
      </c>
      <c r="B124" s="1" t="s">
        <v>10</v>
      </c>
      <c r="C124" s="1">
        <v>64</v>
      </c>
      <c r="D124" s="1" t="s">
        <v>59</v>
      </c>
      <c r="E124" s="1">
        <v>2</v>
      </c>
      <c r="F124" s="1">
        <v>2100</v>
      </c>
      <c r="G124" s="1" t="s">
        <v>22</v>
      </c>
      <c r="H124" s="2">
        <v>44681</v>
      </c>
      <c r="I124" s="1" t="s">
        <v>13</v>
      </c>
    </row>
    <row r="125" spans="1:9" x14ac:dyDescent="0.3">
      <c r="A125" s="1" t="s">
        <v>160</v>
      </c>
      <c r="B125" s="1" t="s">
        <v>10</v>
      </c>
      <c r="C125" s="1">
        <v>60</v>
      </c>
      <c r="D125" s="1" t="s">
        <v>44</v>
      </c>
      <c r="E125" s="1">
        <v>4</v>
      </c>
      <c r="F125" s="1">
        <v>143.36000000000001</v>
      </c>
      <c r="G125" s="1" t="s">
        <v>22</v>
      </c>
      <c r="H125" s="2">
        <v>44354</v>
      </c>
      <c r="I125" s="1" t="s">
        <v>19</v>
      </c>
    </row>
    <row r="126" spans="1:9" x14ac:dyDescent="0.3">
      <c r="A126" s="1" t="s">
        <v>161</v>
      </c>
      <c r="B126" s="1" t="s">
        <v>16</v>
      </c>
      <c r="C126" s="1">
        <v>64</v>
      </c>
      <c r="D126" s="1" t="s">
        <v>44</v>
      </c>
      <c r="E126" s="1">
        <v>5</v>
      </c>
      <c r="F126" s="1">
        <v>179.2</v>
      </c>
      <c r="G126" s="1" t="s">
        <v>18</v>
      </c>
      <c r="H126" s="2">
        <v>44613</v>
      </c>
      <c r="I126" s="1" t="s">
        <v>13</v>
      </c>
    </row>
    <row r="127" spans="1:9" x14ac:dyDescent="0.3">
      <c r="A127" s="1" t="s">
        <v>162</v>
      </c>
      <c r="B127" s="1" t="s">
        <v>10</v>
      </c>
      <c r="C127" s="1">
        <v>41</v>
      </c>
      <c r="D127" s="1" t="s">
        <v>11</v>
      </c>
      <c r="E127" s="1">
        <v>3</v>
      </c>
      <c r="F127" s="1">
        <v>900.24</v>
      </c>
      <c r="G127" s="1" t="s">
        <v>18</v>
      </c>
      <c r="H127" s="2">
        <v>44434</v>
      </c>
      <c r="I127" s="1" t="s">
        <v>42</v>
      </c>
    </row>
    <row r="128" spans="1:9" x14ac:dyDescent="0.3">
      <c r="A128" s="1" t="s">
        <v>163</v>
      </c>
      <c r="B128" s="1" t="s">
        <v>16</v>
      </c>
      <c r="C128" s="1">
        <v>30</v>
      </c>
      <c r="D128" s="1" t="s">
        <v>40</v>
      </c>
      <c r="E128" s="1">
        <v>5</v>
      </c>
      <c r="F128" s="1">
        <v>26.15</v>
      </c>
      <c r="G128" s="1" t="s">
        <v>22</v>
      </c>
      <c r="H128" s="2">
        <v>44545</v>
      </c>
      <c r="I128" s="1" t="s">
        <v>23</v>
      </c>
    </row>
    <row r="129" spans="1:9" x14ac:dyDescent="0.3">
      <c r="A129" s="1" t="s">
        <v>164</v>
      </c>
      <c r="B129" s="1" t="s">
        <v>16</v>
      </c>
      <c r="C129" s="1">
        <v>40</v>
      </c>
      <c r="D129" s="1" t="s">
        <v>11</v>
      </c>
      <c r="E129" s="1">
        <v>1</v>
      </c>
      <c r="F129" s="1">
        <v>300.08</v>
      </c>
      <c r="G129" s="1" t="s">
        <v>18</v>
      </c>
      <c r="H129" s="2">
        <v>44247</v>
      </c>
      <c r="I129" s="1" t="s">
        <v>36</v>
      </c>
    </row>
    <row r="130" spans="1:9" x14ac:dyDescent="0.3">
      <c r="A130" s="1" t="s">
        <v>165</v>
      </c>
      <c r="B130" s="1" t="s">
        <v>10</v>
      </c>
      <c r="C130" s="1">
        <v>29</v>
      </c>
      <c r="D130" s="1" t="s">
        <v>11</v>
      </c>
      <c r="E130" s="1">
        <v>2</v>
      </c>
      <c r="F130" s="1">
        <v>600.16</v>
      </c>
      <c r="G130" s="1" t="s">
        <v>22</v>
      </c>
      <c r="H130" s="2">
        <v>44477</v>
      </c>
      <c r="I130" s="1" t="s">
        <v>13</v>
      </c>
    </row>
    <row r="131" spans="1:9" x14ac:dyDescent="0.3">
      <c r="A131" s="1" t="s">
        <v>166</v>
      </c>
      <c r="B131" s="1" t="s">
        <v>16</v>
      </c>
      <c r="C131" s="1">
        <v>25</v>
      </c>
      <c r="D131" s="1" t="s">
        <v>11</v>
      </c>
      <c r="E131" s="1">
        <v>3</v>
      </c>
      <c r="F131" s="1">
        <v>900.24</v>
      </c>
      <c r="G131" s="1" t="s">
        <v>22</v>
      </c>
      <c r="H131" s="2">
        <v>44774</v>
      </c>
      <c r="I131" s="1" t="s">
        <v>36</v>
      </c>
    </row>
    <row r="132" spans="1:9" x14ac:dyDescent="0.3">
      <c r="A132" s="1" t="s">
        <v>167</v>
      </c>
      <c r="B132" s="1" t="s">
        <v>10</v>
      </c>
      <c r="C132" s="1">
        <v>60</v>
      </c>
      <c r="D132" s="1" t="s">
        <v>11</v>
      </c>
      <c r="E132" s="1">
        <v>4</v>
      </c>
      <c r="F132" s="1">
        <v>1200.32</v>
      </c>
      <c r="G132" s="1" t="s">
        <v>22</v>
      </c>
      <c r="H132" s="2">
        <v>44448</v>
      </c>
      <c r="I132" s="1" t="s">
        <v>13</v>
      </c>
    </row>
    <row r="133" spans="1:9" x14ac:dyDescent="0.3">
      <c r="A133" s="1" t="s">
        <v>168</v>
      </c>
      <c r="B133" s="1" t="s">
        <v>10</v>
      </c>
      <c r="C133" s="1">
        <v>42</v>
      </c>
      <c r="D133" s="1" t="s">
        <v>40</v>
      </c>
      <c r="E133" s="1">
        <v>5</v>
      </c>
      <c r="F133" s="1">
        <v>26.15</v>
      </c>
      <c r="G133" s="1" t="s">
        <v>22</v>
      </c>
      <c r="H133" s="2">
        <v>44494</v>
      </c>
      <c r="I133" s="1" t="s">
        <v>23</v>
      </c>
    </row>
    <row r="134" spans="1:9" x14ac:dyDescent="0.3">
      <c r="A134" s="1" t="s">
        <v>169</v>
      </c>
      <c r="B134" s="1" t="s">
        <v>16</v>
      </c>
      <c r="C134" s="1">
        <v>54</v>
      </c>
      <c r="D134" s="1" t="s">
        <v>40</v>
      </c>
      <c r="E134" s="1">
        <v>1</v>
      </c>
      <c r="F134" s="1">
        <v>5.23</v>
      </c>
      <c r="G134" s="1" t="s">
        <v>22</v>
      </c>
      <c r="H134" s="2">
        <v>44544</v>
      </c>
      <c r="I134" s="1" t="s">
        <v>25</v>
      </c>
    </row>
    <row r="135" spans="1:9" x14ac:dyDescent="0.3">
      <c r="A135" s="1" t="s">
        <v>170</v>
      </c>
      <c r="B135" s="1" t="s">
        <v>10</v>
      </c>
      <c r="C135" s="1">
        <v>50</v>
      </c>
      <c r="D135" s="1" t="s">
        <v>11</v>
      </c>
      <c r="E135" s="1">
        <v>5</v>
      </c>
      <c r="F135" s="1">
        <v>1500.4</v>
      </c>
      <c r="G135" s="1" t="s">
        <v>22</v>
      </c>
      <c r="H135" s="2">
        <v>44367</v>
      </c>
      <c r="I135" s="1" t="s">
        <v>13</v>
      </c>
    </row>
    <row r="136" spans="1:9" x14ac:dyDescent="0.3">
      <c r="A136" s="1" t="s">
        <v>171</v>
      </c>
      <c r="B136" s="1" t="s">
        <v>16</v>
      </c>
      <c r="C136" s="1">
        <v>54</v>
      </c>
      <c r="D136" s="1" t="s">
        <v>11</v>
      </c>
      <c r="E136" s="1">
        <v>1</v>
      </c>
      <c r="F136" s="1">
        <v>300.08</v>
      </c>
      <c r="G136" s="1" t="s">
        <v>18</v>
      </c>
      <c r="H136" s="2">
        <v>44293</v>
      </c>
      <c r="I136" s="1" t="s">
        <v>25</v>
      </c>
    </row>
    <row r="137" spans="1:9" x14ac:dyDescent="0.3">
      <c r="A137" s="1" t="s">
        <v>172</v>
      </c>
      <c r="B137" s="1" t="s">
        <v>10</v>
      </c>
      <c r="C137" s="1">
        <v>45</v>
      </c>
      <c r="D137" s="1" t="s">
        <v>28</v>
      </c>
      <c r="E137" s="1">
        <v>4</v>
      </c>
      <c r="F137" s="1">
        <v>60.6</v>
      </c>
      <c r="G137" s="1" t="s">
        <v>22</v>
      </c>
      <c r="H137" s="2">
        <v>44535</v>
      </c>
      <c r="I137" s="1" t="s">
        <v>23</v>
      </c>
    </row>
    <row r="138" spans="1:9" x14ac:dyDescent="0.3">
      <c r="A138" s="1" t="s">
        <v>173</v>
      </c>
      <c r="B138" s="1" t="s">
        <v>10</v>
      </c>
      <c r="C138" s="1">
        <v>40</v>
      </c>
      <c r="D138" s="1" t="s">
        <v>32</v>
      </c>
      <c r="E138" s="1">
        <v>1</v>
      </c>
      <c r="F138" s="1">
        <v>40.659999999999997</v>
      </c>
      <c r="G138" s="1" t="s">
        <v>12</v>
      </c>
      <c r="H138" s="2">
        <v>44341</v>
      </c>
      <c r="I138" s="1" t="s">
        <v>52</v>
      </c>
    </row>
    <row r="139" spans="1:9" x14ac:dyDescent="0.3">
      <c r="A139" s="1" t="s">
        <v>174</v>
      </c>
      <c r="B139" s="1" t="s">
        <v>16</v>
      </c>
      <c r="C139" s="1">
        <v>24</v>
      </c>
      <c r="D139" s="1" t="s">
        <v>28</v>
      </c>
      <c r="E139" s="1">
        <v>3</v>
      </c>
      <c r="F139" s="1">
        <v>45.45</v>
      </c>
      <c r="G139" s="1" t="s">
        <v>12</v>
      </c>
      <c r="H139" s="2">
        <v>44663</v>
      </c>
      <c r="I139" s="1" t="s">
        <v>23</v>
      </c>
    </row>
    <row r="140" spans="1:9" x14ac:dyDescent="0.3">
      <c r="A140" s="1" t="s">
        <v>175</v>
      </c>
      <c r="B140" s="1" t="s">
        <v>16</v>
      </c>
      <c r="C140" s="1">
        <v>40</v>
      </c>
      <c r="D140" s="1" t="s">
        <v>11</v>
      </c>
      <c r="E140" s="1">
        <v>4</v>
      </c>
      <c r="F140" s="1">
        <v>1200.32</v>
      </c>
      <c r="G140" s="1" t="s">
        <v>22</v>
      </c>
      <c r="H140" s="2">
        <v>44546</v>
      </c>
      <c r="I140" s="1" t="s">
        <v>36</v>
      </c>
    </row>
    <row r="141" spans="1:9" x14ac:dyDescent="0.3">
      <c r="A141" s="1" t="s">
        <v>176</v>
      </c>
      <c r="B141" s="1" t="s">
        <v>10</v>
      </c>
      <c r="C141" s="1">
        <v>32</v>
      </c>
      <c r="D141" s="1" t="s">
        <v>59</v>
      </c>
      <c r="E141" s="1">
        <v>2</v>
      </c>
      <c r="F141" s="1">
        <v>2100</v>
      </c>
      <c r="G141" s="1" t="s">
        <v>12</v>
      </c>
      <c r="H141" s="2">
        <v>44248</v>
      </c>
      <c r="I141" s="1" t="s">
        <v>25</v>
      </c>
    </row>
    <row r="142" spans="1:9" x14ac:dyDescent="0.3">
      <c r="A142" s="1" t="s">
        <v>177</v>
      </c>
      <c r="B142" s="1" t="s">
        <v>10</v>
      </c>
      <c r="C142" s="1">
        <v>28</v>
      </c>
      <c r="D142" s="1" t="s">
        <v>11</v>
      </c>
      <c r="E142" s="1">
        <v>3</v>
      </c>
      <c r="F142" s="1">
        <v>900.24</v>
      </c>
      <c r="G142" s="1" t="s">
        <v>22</v>
      </c>
      <c r="H142" s="2">
        <v>44495</v>
      </c>
      <c r="I142" s="1" t="s">
        <v>36</v>
      </c>
    </row>
    <row r="143" spans="1:9" x14ac:dyDescent="0.3">
      <c r="A143" s="1" t="s">
        <v>178</v>
      </c>
      <c r="B143" s="1" t="s">
        <v>10</v>
      </c>
      <c r="C143" s="1">
        <v>22</v>
      </c>
      <c r="D143" s="1" t="s">
        <v>44</v>
      </c>
      <c r="E143" s="1">
        <v>1</v>
      </c>
      <c r="F143" s="1">
        <v>35.840000000000003</v>
      </c>
      <c r="G143" s="1" t="s">
        <v>22</v>
      </c>
      <c r="H143" s="2">
        <v>44913</v>
      </c>
      <c r="I143" s="1" t="s">
        <v>36</v>
      </c>
    </row>
    <row r="144" spans="1:9" x14ac:dyDescent="0.3">
      <c r="A144" s="1" t="s">
        <v>179</v>
      </c>
      <c r="B144" s="1" t="s">
        <v>10</v>
      </c>
      <c r="C144" s="1">
        <v>21</v>
      </c>
      <c r="D144" s="1" t="s">
        <v>11</v>
      </c>
      <c r="E144" s="1">
        <v>1</v>
      </c>
      <c r="F144" s="1">
        <v>300.08</v>
      </c>
      <c r="G144" s="1" t="s">
        <v>12</v>
      </c>
      <c r="H144" s="2">
        <v>44823</v>
      </c>
      <c r="I144" s="1" t="s">
        <v>23</v>
      </c>
    </row>
    <row r="145" spans="1:9" x14ac:dyDescent="0.3">
      <c r="A145" s="1" t="s">
        <v>180</v>
      </c>
      <c r="B145" s="1" t="s">
        <v>10</v>
      </c>
      <c r="C145" s="1">
        <v>31</v>
      </c>
      <c r="D145" s="1" t="s">
        <v>11</v>
      </c>
      <c r="E145" s="1">
        <v>2</v>
      </c>
      <c r="F145" s="1">
        <v>600.16</v>
      </c>
      <c r="G145" s="1" t="s">
        <v>12</v>
      </c>
      <c r="H145" s="2">
        <v>44958</v>
      </c>
      <c r="I145" s="1" t="s">
        <v>13</v>
      </c>
    </row>
    <row r="146" spans="1:9" x14ac:dyDescent="0.3">
      <c r="A146" s="1" t="s">
        <v>181</v>
      </c>
      <c r="B146" s="1" t="s">
        <v>10</v>
      </c>
      <c r="C146" s="1">
        <v>61</v>
      </c>
      <c r="D146" s="1" t="s">
        <v>40</v>
      </c>
      <c r="E146" s="1">
        <v>3</v>
      </c>
      <c r="F146" s="1">
        <v>15.69</v>
      </c>
      <c r="G146" s="1" t="s">
        <v>12</v>
      </c>
      <c r="H146" s="2">
        <v>44839</v>
      </c>
      <c r="I146" s="1" t="s">
        <v>36</v>
      </c>
    </row>
    <row r="147" spans="1:9" x14ac:dyDescent="0.3">
      <c r="A147" s="1" t="s">
        <v>182</v>
      </c>
      <c r="B147" s="1" t="s">
        <v>10</v>
      </c>
      <c r="C147" s="1">
        <v>67</v>
      </c>
      <c r="D147" s="1" t="s">
        <v>32</v>
      </c>
      <c r="E147" s="1">
        <v>2</v>
      </c>
      <c r="F147" s="1">
        <v>81.319999999999993</v>
      </c>
      <c r="G147" s="1" t="s">
        <v>22</v>
      </c>
      <c r="H147" s="2">
        <v>44528</v>
      </c>
      <c r="I147" s="1" t="s">
        <v>13</v>
      </c>
    </row>
    <row r="148" spans="1:9" x14ac:dyDescent="0.3">
      <c r="A148" s="1" t="s">
        <v>183</v>
      </c>
      <c r="B148" s="1" t="s">
        <v>16</v>
      </c>
      <c r="C148" s="1">
        <v>52</v>
      </c>
      <c r="D148" s="1" t="s">
        <v>17</v>
      </c>
      <c r="E148" s="1">
        <v>5</v>
      </c>
      <c r="F148" s="1">
        <v>3000.85</v>
      </c>
      <c r="G148" s="1" t="s">
        <v>22</v>
      </c>
      <c r="H148" s="2">
        <v>44411</v>
      </c>
      <c r="I148" s="1" t="s">
        <v>13</v>
      </c>
    </row>
    <row r="149" spans="1:9" x14ac:dyDescent="0.3">
      <c r="A149" s="1" t="s">
        <v>184</v>
      </c>
      <c r="B149" s="1" t="s">
        <v>16</v>
      </c>
      <c r="C149" s="1">
        <v>44</v>
      </c>
      <c r="D149" s="1" t="s">
        <v>11</v>
      </c>
      <c r="E149" s="1">
        <v>4</v>
      </c>
      <c r="F149" s="1">
        <v>1200.32</v>
      </c>
      <c r="G149" s="1" t="s">
        <v>12</v>
      </c>
      <c r="H149" s="2">
        <v>44846</v>
      </c>
      <c r="I149" s="1" t="s">
        <v>25</v>
      </c>
    </row>
    <row r="150" spans="1:9" x14ac:dyDescent="0.3">
      <c r="A150" s="1" t="s">
        <v>185</v>
      </c>
      <c r="B150" s="1" t="s">
        <v>10</v>
      </c>
      <c r="C150" s="1">
        <v>48</v>
      </c>
      <c r="D150" s="1" t="s">
        <v>40</v>
      </c>
      <c r="E150" s="1">
        <v>2</v>
      </c>
      <c r="F150" s="1">
        <v>10.46</v>
      </c>
      <c r="G150" s="1" t="s">
        <v>12</v>
      </c>
      <c r="H150" s="2">
        <v>44832</v>
      </c>
      <c r="I150" s="1" t="s">
        <v>13</v>
      </c>
    </row>
    <row r="151" spans="1:9" x14ac:dyDescent="0.3">
      <c r="A151" s="1" t="s">
        <v>186</v>
      </c>
      <c r="B151" s="1" t="s">
        <v>10</v>
      </c>
      <c r="C151" s="1">
        <v>53</v>
      </c>
      <c r="D151" s="1" t="s">
        <v>40</v>
      </c>
      <c r="E151" s="1">
        <v>3</v>
      </c>
      <c r="F151" s="1">
        <v>15.69</v>
      </c>
      <c r="G151" s="1" t="s">
        <v>22</v>
      </c>
      <c r="H151" s="2">
        <v>44389</v>
      </c>
      <c r="I151" s="1" t="s">
        <v>23</v>
      </c>
    </row>
    <row r="152" spans="1:9" x14ac:dyDescent="0.3">
      <c r="A152" s="1" t="s">
        <v>187</v>
      </c>
      <c r="B152" s="1" t="s">
        <v>16</v>
      </c>
      <c r="C152" s="1">
        <v>27</v>
      </c>
      <c r="D152" s="1" t="s">
        <v>44</v>
      </c>
      <c r="E152" s="1">
        <v>4</v>
      </c>
      <c r="F152" s="1">
        <v>143.36000000000001</v>
      </c>
      <c r="G152" s="1" t="s">
        <v>22</v>
      </c>
      <c r="H152" s="2">
        <v>44380</v>
      </c>
      <c r="I152" s="1" t="s">
        <v>36</v>
      </c>
    </row>
    <row r="153" spans="1:9" x14ac:dyDescent="0.3">
      <c r="A153" s="1" t="s">
        <v>188</v>
      </c>
      <c r="B153" s="1" t="s">
        <v>10</v>
      </c>
      <c r="C153" s="1">
        <v>28</v>
      </c>
      <c r="D153" s="1" t="s">
        <v>32</v>
      </c>
      <c r="E153" s="1">
        <v>4</v>
      </c>
      <c r="F153" s="1">
        <v>162.63999999999999</v>
      </c>
      <c r="G153" s="1" t="s">
        <v>22</v>
      </c>
      <c r="H153" s="2">
        <v>44646</v>
      </c>
      <c r="I153" s="1" t="s">
        <v>49</v>
      </c>
    </row>
    <row r="154" spans="1:9" x14ac:dyDescent="0.3">
      <c r="A154" s="1" t="s">
        <v>189</v>
      </c>
      <c r="B154" s="1" t="s">
        <v>10</v>
      </c>
      <c r="C154" s="1">
        <v>43</v>
      </c>
      <c r="D154" s="1" t="s">
        <v>44</v>
      </c>
      <c r="E154" s="1">
        <v>4</v>
      </c>
      <c r="F154" s="1">
        <v>143.36000000000001</v>
      </c>
      <c r="G154" s="1" t="s">
        <v>12</v>
      </c>
      <c r="H154" s="2">
        <v>44698</v>
      </c>
      <c r="I154" s="1" t="s">
        <v>46</v>
      </c>
    </row>
    <row r="155" spans="1:9" x14ac:dyDescent="0.3">
      <c r="A155" s="1" t="s">
        <v>190</v>
      </c>
      <c r="B155" s="1" t="s">
        <v>16</v>
      </c>
      <c r="C155" s="1">
        <v>54</v>
      </c>
      <c r="D155" s="1" t="s">
        <v>104</v>
      </c>
      <c r="E155" s="1">
        <v>5</v>
      </c>
      <c r="F155" s="1">
        <v>58.65</v>
      </c>
      <c r="G155" s="1" t="s">
        <v>12</v>
      </c>
      <c r="H155" s="2">
        <v>44662</v>
      </c>
      <c r="I155" s="1" t="s">
        <v>13</v>
      </c>
    </row>
    <row r="156" spans="1:9" x14ac:dyDescent="0.3">
      <c r="A156" s="1" t="s">
        <v>191</v>
      </c>
      <c r="B156" s="1" t="s">
        <v>16</v>
      </c>
      <c r="C156" s="1">
        <v>41</v>
      </c>
      <c r="D156" s="1" t="s">
        <v>40</v>
      </c>
      <c r="E156" s="1">
        <v>5</v>
      </c>
      <c r="F156" s="1">
        <v>26.15</v>
      </c>
      <c r="G156" s="1" t="s">
        <v>12</v>
      </c>
      <c r="H156" s="2">
        <v>44491</v>
      </c>
      <c r="I156" s="1" t="s">
        <v>13</v>
      </c>
    </row>
    <row r="157" spans="1:9" x14ac:dyDescent="0.3">
      <c r="A157" s="1" t="s">
        <v>192</v>
      </c>
      <c r="B157" s="1" t="s">
        <v>10</v>
      </c>
      <c r="C157" s="1">
        <v>59</v>
      </c>
      <c r="D157" s="1" t="s">
        <v>32</v>
      </c>
      <c r="E157" s="1">
        <v>5</v>
      </c>
      <c r="F157" s="1">
        <v>203.3</v>
      </c>
      <c r="G157" s="1" t="s">
        <v>22</v>
      </c>
      <c r="H157" s="2">
        <v>44550</v>
      </c>
      <c r="I157" s="1" t="s">
        <v>33</v>
      </c>
    </row>
    <row r="158" spans="1:9" x14ac:dyDescent="0.3">
      <c r="A158" s="1" t="s">
        <v>193</v>
      </c>
      <c r="B158" s="1" t="s">
        <v>10</v>
      </c>
      <c r="C158" s="1">
        <v>32</v>
      </c>
      <c r="D158" s="1" t="s">
        <v>11</v>
      </c>
      <c r="E158" s="1">
        <v>1</v>
      </c>
      <c r="F158" s="1">
        <v>300.08</v>
      </c>
      <c r="G158" s="1" t="s">
        <v>12</v>
      </c>
      <c r="H158" s="2">
        <v>44637</v>
      </c>
      <c r="I158" s="1" t="s">
        <v>25</v>
      </c>
    </row>
    <row r="159" spans="1:9" x14ac:dyDescent="0.3">
      <c r="A159" s="1" t="s">
        <v>194</v>
      </c>
      <c r="B159" s="1" t="s">
        <v>10</v>
      </c>
      <c r="C159" s="1">
        <v>41</v>
      </c>
      <c r="D159" s="1" t="s">
        <v>104</v>
      </c>
      <c r="E159" s="1">
        <v>5</v>
      </c>
      <c r="F159" s="1">
        <v>58.65</v>
      </c>
      <c r="G159" s="1" t="s">
        <v>12</v>
      </c>
      <c r="H159" s="2">
        <v>44735</v>
      </c>
      <c r="I159" s="1" t="s">
        <v>25</v>
      </c>
    </row>
    <row r="160" spans="1:9" x14ac:dyDescent="0.3">
      <c r="A160" s="1" t="s">
        <v>195</v>
      </c>
      <c r="B160" s="1" t="s">
        <v>10</v>
      </c>
      <c r="C160" s="1">
        <v>30</v>
      </c>
      <c r="D160" s="1" t="s">
        <v>59</v>
      </c>
      <c r="E160" s="1">
        <v>3</v>
      </c>
      <c r="F160" s="1">
        <v>3150</v>
      </c>
      <c r="G160" s="1" t="s">
        <v>18</v>
      </c>
      <c r="H160" s="2">
        <v>44366</v>
      </c>
      <c r="I160" s="1" t="s">
        <v>36</v>
      </c>
    </row>
    <row r="161" spans="1:9" x14ac:dyDescent="0.3">
      <c r="A161" s="1" t="s">
        <v>196</v>
      </c>
      <c r="B161" s="1" t="s">
        <v>16</v>
      </c>
      <c r="C161" s="1">
        <v>22</v>
      </c>
      <c r="D161" s="1" t="s">
        <v>11</v>
      </c>
      <c r="E161" s="1">
        <v>1</v>
      </c>
      <c r="F161" s="1">
        <v>300.08</v>
      </c>
      <c r="G161" s="1" t="s">
        <v>18</v>
      </c>
      <c r="H161" s="2">
        <v>44803</v>
      </c>
      <c r="I161" s="1" t="s">
        <v>33</v>
      </c>
    </row>
    <row r="162" spans="1:9" x14ac:dyDescent="0.3">
      <c r="A162" s="1" t="s">
        <v>197</v>
      </c>
      <c r="B162" s="1" t="s">
        <v>10</v>
      </c>
      <c r="C162" s="1">
        <v>51</v>
      </c>
      <c r="D162" s="1" t="s">
        <v>11</v>
      </c>
      <c r="E162" s="1">
        <v>4</v>
      </c>
      <c r="F162" s="1">
        <v>1200.32</v>
      </c>
      <c r="G162" s="1" t="s">
        <v>22</v>
      </c>
      <c r="H162" s="2">
        <v>44520</v>
      </c>
      <c r="I162" s="1" t="s">
        <v>46</v>
      </c>
    </row>
    <row r="163" spans="1:9" x14ac:dyDescent="0.3">
      <c r="A163" s="1" t="s">
        <v>198</v>
      </c>
      <c r="B163" s="1" t="s">
        <v>10</v>
      </c>
      <c r="C163" s="1">
        <v>23</v>
      </c>
      <c r="D163" s="1" t="s">
        <v>40</v>
      </c>
      <c r="E163" s="1">
        <v>2</v>
      </c>
      <c r="F163" s="1">
        <v>10.46</v>
      </c>
      <c r="G163" s="1" t="s">
        <v>12</v>
      </c>
      <c r="H163" s="2">
        <v>44408</v>
      </c>
      <c r="I163" s="1" t="s">
        <v>49</v>
      </c>
    </row>
    <row r="164" spans="1:9" x14ac:dyDescent="0.3">
      <c r="A164" s="1" t="s">
        <v>199</v>
      </c>
      <c r="B164" s="1" t="s">
        <v>16</v>
      </c>
      <c r="C164" s="1">
        <v>40</v>
      </c>
      <c r="D164" s="1" t="s">
        <v>44</v>
      </c>
      <c r="E164" s="1">
        <v>2</v>
      </c>
      <c r="F164" s="1">
        <v>71.680000000000007</v>
      </c>
      <c r="G164" s="1" t="s">
        <v>22</v>
      </c>
      <c r="H164" s="2">
        <v>44612</v>
      </c>
      <c r="I164" s="1" t="s">
        <v>13</v>
      </c>
    </row>
    <row r="165" spans="1:9" x14ac:dyDescent="0.3">
      <c r="A165" s="1" t="s">
        <v>200</v>
      </c>
      <c r="B165" s="1" t="s">
        <v>16</v>
      </c>
      <c r="C165" s="1">
        <v>37</v>
      </c>
      <c r="D165" s="1" t="s">
        <v>11</v>
      </c>
      <c r="E165" s="1">
        <v>5</v>
      </c>
      <c r="F165" s="1">
        <v>1500.4</v>
      </c>
      <c r="G165" s="1" t="s">
        <v>22</v>
      </c>
      <c r="H165" s="2">
        <v>44966</v>
      </c>
      <c r="I165" s="1" t="s">
        <v>42</v>
      </c>
    </row>
    <row r="166" spans="1:9" x14ac:dyDescent="0.3">
      <c r="A166" s="1" t="s">
        <v>201</v>
      </c>
      <c r="B166" s="1" t="s">
        <v>10</v>
      </c>
      <c r="C166" s="1">
        <v>24</v>
      </c>
      <c r="D166" s="1" t="s">
        <v>11</v>
      </c>
      <c r="E166" s="1">
        <v>1</v>
      </c>
      <c r="F166" s="1">
        <v>300.08</v>
      </c>
      <c r="G166" s="1" t="s">
        <v>22</v>
      </c>
      <c r="H166" s="2">
        <v>44279</v>
      </c>
      <c r="I166" s="1" t="s">
        <v>36</v>
      </c>
    </row>
    <row r="167" spans="1:9" x14ac:dyDescent="0.3">
      <c r="A167" s="1" t="s">
        <v>202</v>
      </c>
      <c r="B167" s="1" t="s">
        <v>16</v>
      </c>
      <c r="C167" s="1">
        <v>22</v>
      </c>
      <c r="D167" s="1" t="s">
        <v>40</v>
      </c>
      <c r="E167" s="1">
        <v>1</v>
      </c>
      <c r="F167" s="1">
        <v>5.23</v>
      </c>
      <c r="G167" s="1" t="s">
        <v>12</v>
      </c>
      <c r="H167" s="2">
        <v>44798</v>
      </c>
      <c r="I167" s="1" t="s">
        <v>13</v>
      </c>
    </row>
    <row r="168" spans="1:9" x14ac:dyDescent="0.3">
      <c r="A168" s="1" t="s">
        <v>203</v>
      </c>
      <c r="B168" s="1" t="s">
        <v>10</v>
      </c>
      <c r="C168" s="1">
        <v>61</v>
      </c>
      <c r="D168" s="1" t="s">
        <v>32</v>
      </c>
      <c r="E168" s="1">
        <v>4</v>
      </c>
      <c r="F168" s="1">
        <v>162.63999999999999</v>
      </c>
      <c r="G168" s="1" t="s">
        <v>22</v>
      </c>
      <c r="H168" s="2">
        <v>44490</v>
      </c>
      <c r="I168" s="1" t="s">
        <v>13</v>
      </c>
    </row>
    <row r="169" spans="1:9" x14ac:dyDescent="0.3">
      <c r="A169" s="1" t="s">
        <v>204</v>
      </c>
      <c r="B169" s="1" t="s">
        <v>10</v>
      </c>
      <c r="C169" s="1">
        <v>25</v>
      </c>
      <c r="D169" s="1" t="s">
        <v>40</v>
      </c>
      <c r="E169" s="1">
        <v>2</v>
      </c>
      <c r="F169" s="1">
        <v>10.46</v>
      </c>
      <c r="G169" s="1" t="s">
        <v>12</v>
      </c>
      <c r="H169" s="2">
        <v>44709</v>
      </c>
      <c r="I169" s="1" t="s">
        <v>23</v>
      </c>
    </row>
    <row r="170" spans="1:9" x14ac:dyDescent="0.3">
      <c r="A170" s="1" t="s">
        <v>205</v>
      </c>
      <c r="B170" s="1" t="s">
        <v>10</v>
      </c>
      <c r="C170" s="1">
        <v>66</v>
      </c>
      <c r="D170" s="1" t="s">
        <v>104</v>
      </c>
      <c r="E170" s="1">
        <v>5</v>
      </c>
      <c r="F170" s="1">
        <v>58.65</v>
      </c>
      <c r="G170" s="1" t="s">
        <v>12</v>
      </c>
      <c r="H170" s="2">
        <v>44625</v>
      </c>
      <c r="I170" s="1" t="s">
        <v>52</v>
      </c>
    </row>
    <row r="171" spans="1:9" x14ac:dyDescent="0.3">
      <c r="A171" s="1" t="s">
        <v>206</v>
      </c>
      <c r="B171" s="1" t="s">
        <v>10</v>
      </c>
      <c r="C171" s="1">
        <v>59</v>
      </c>
      <c r="D171" s="1" t="s">
        <v>17</v>
      </c>
      <c r="E171" s="1">
        <v>1</v>
      </c>
      <c r="F171" s="1">
        <v>600.16999999999996</v>
      </c>
      <c r="G171" s="1" t="s">
        <v>22</v>
      </c>
      <c r="H171" s="2">
        <v>44474</v>
      </c>
      <c r="I171" s="1" t="s">
        <v>13</v>
      </c>
    </row>
    <row r="172" spans="1:9" x14ac:dyDescent="0.3">
      <c r="A172" s="1" t="s">
        <v>207</v>
      </c>
      <c r="B172" s="1" t="s">
        <v>16</v>
      </c>
      <c r="C172" s="1">
        <v>38</v>
      </c>
      <c r="D172" s="1" t="s">
        <v>11</v>
      </c>
      <c r="E172" s="1">
        <v>4</v>
      </c>
      <c r="F172" s="1">
        <v>1200.32</v>
      </c>
      <c r="G172" s="1" t="s">
        <v>22</v>
      </c>
      <c r="H172" s="2">
        <v>44302</v>
      </c>
      <c r="I172" s="1" t="s">
        <v>25</v>
      </c>
    </row>
    <row r="173" spans="1:9" x14ac:dyDescent="0.3">
      <c r="A173" s="1" t="s">
        <v>208</v>
      </c>
      <c r="B173" s="1" t="s">
        <v>16</v>
      </c>
      <c r="C173" s="1">
        <v>34</v>
      </c>
      <c r="D173" s="1" t="s">
        <v>44</v>
      </c>
      <c r="E173" s="1">
        <v>2</v>
      </c>
      <c r="F173" s="1">
        <v>71.680000000000007</v>
      </c>
      <c r="G173" s="1" t="s">
        <v>18</v>
      </c>
      <c r="H173" s="2">
        <v>44983</v>
      </c>
      <c r="I173" s="1" t="s">
        <v>23</v>
      </c>
    </row>
    <row r="174" spans="1:9" x14ac:dyDescent="0.3">
      <c r="A174" s="1" t="s">
        <v>209</v>
      </c>
      <c r="B174" s="1" t="s">
        <v>10</v>
      </c>
      <c r="C174" s="1">
        <v>26</v>
      </c>
      <c r="D174" s="1" t="s">
        <v>11</v>
      </c>
      <c r="E174" s="1">
        <v>1</v>
      </c>
      <c r="F174" s="1">
        <v>300.08</v>
      </c>
      <c r="G174" s="1" t="s">
        <v>22</v>
      </c>
      <c r="H174" s="2">
        <v>44275</v>
      </c>
      <c r="I174" s="1" t="s">
        <v>13</v>
      </c>
    </row>
    <row r="175" spans="1:9" x14ac:dyDescent="0.3">
      <c r="A175" s="1" t="s">
        <v>210</v>
      </c>
      <c r="B175" s="1" t="s">
        <v>10</v>
      </c>
      <c r="C175" s="1">
        <v>59</v>
      </c>
      <c r="D175" s="1" t="s">
        <v>104</v>
      </c>
      <c r="E175" s="1">
        <v>5</v>
      </c>
      <c r="F175" s="1">
        <v>58.65</v>
      </c>
      <c r="G175" s="1" t="s">
        <v>22</v>
      </c>
      <c r="H175" s="2">
        <v>44696</v>
      </c>
      <c r="I175" s="1" t="s">
        <v>23</v>
      </c>
    </row>
    <row r="176" spans="1:9" x14ac:dyDescent="0.3">
      <c r="A176" s="1" t="s">
        <v>211</v>
      </c>
      <c r="B176" s="1" t="s">
        <v>10</v>
      </c>
      <c r="C176" s="1">
        <v>53</v>
      </c>
      <c r="D176" s="1" t="s">
        <v>44</v>
      </c>
      <c r="E176" s="1">
        <v>1</v>
      </c>
      <c r="F176" s="1">
        <v>35.840000000000003</v>
      </c>
      <c r="G176" s="1" t="s">
        <v>18</v>
      </c>
      <c r="H176" s="2">
        <v>44957</v>
      </c>
      <c r="I176" s="1" t="s">
        <v>36</v>
      </c>
    </row>
    <row r="177" spans="1:9" x14ac:dyDescent="0.3">
      <c r="A177" s="1" t="s">
        <v>212</v>
      </c>
      <c r="B177" s="1" t="s">
        <v>16</v>
      </c>
      <c r="C177" s="1">
        <v>23</v>
      </c>
      <c r="D177" s="1" t="s">
        <v>32</v>
      </c>
      <c r="E177" s="1">
        <v>4</v>
      </c>
      <c r="F177" s="1">
        <v>162.63999999999999</v>
      </c>
      <c r="G177" s="1" t="s">
        <v>18</v>
      </c>
      <c r="H177" s="2">
        <v>44471</v>
      </c>
      <c r="I177" s="1" t="s">
        <v>49</v>
      </c>
    </row>
    <row r="178" spans="1:9" x14ac:dyDescent="0.3">
      <c r="A178" s="1" t="s">
        <v>213</v>
      </c>
      <c r="B178" s="1" t="s">
        <v>10</v>
      </c>
      <c r="C178" s="1">
        <v>23</v>
      </c>
      <c r="D178" s="1" t="s">
        <v>11</v>
      </c>
      <c r="E178" s="1">
        <v>5</v>
      </c>
      <c r="F178" s="1">
        <v>1500.4</v>
      </c>
      <c r="G178" s="1" t="s">
        <v>12</v>
      </c>
      <c r="H178" s="2">
        <v>44776</v>
      </c>
      <c r="I178" s="1" t="s">
        <v>49</v>
      </c>
    </row>
    <row r="179" spans="1:9" x14ac:dyDescent="0.3">
      <c r="A179" s="1" t="s">
        <v>214</v>
      </c>
      <c r="B179" s="1" t="s">
        <v>10</v>
      </c>
      <c r="C179" s="1">
        <v>66</v>
      </c>
      <c r="D179" s="1" t="s">
        <v>59</v>
      </c>
      <c r="E179" s="1">
        <v>3</v>
      </c>
      <c r="F179" s="1">
        <v>3150</v>
      </c>
      <c r="G179" s="1" t="s">
        <v>18</v>
      </c>
      <c r="H179" s="2">
        <v>44283</v>
      </c>
      <c r="I179" s="1" t="s">
        <v>46</v>
      </c>
    </row>
    <row r="180" spans="1:9" x14ac:dyDescent="0.3">
      <c r="A180" s="1" t="s">
        <v>215</v>
      </c>
      <c r="B180" s="1" t="s">
        <v>10</v>
      </c>
      <c r="C180" s="1">
        <v>56</v>
      </c>
      <c r="D180" s="1" t="s">
        <v>32</v>
      </c>
      <c r="E180" s="1">
        <v>4</v>
      </c>
      <c r="F180" s="1">
        <v>162.63999999999999</v>
      </c>
      <c r="G180" s="1" t="s">
        <v>22</v>
      </c>
      <c r="H180" s="2">
        <v>44886</v>
      </c>
      <c r="I180" s="1" t="s">
        <v>36</v>
      </c>
    </row>
    <row r="181" spans="1:9" x14ac:dyDescent="0.3">
      <c r="A181" s="1" t="s">
        <v>216</v>
      </c>
      <c r="B181" s="1" t="s">
        <v>10</v>
      </c>
      <c r="C181" s="1">
        <v>38</v>
      </c>
      <c r="D181" s="1" t="s">
        <v>104</v>
      </c>
      <c r="E181" s="1">
        <v>2</v>
      </c>
      <c r="F181" s="1">
        <v>23.46</v>
      </c>
      <c r="G181" s="1" t="s">
        <v>12</v>
      </c>
      <c r="H181" s="2">
        <v>44239</v>
      </c>
      <c r="I181" s="1" t="s">
        <v>25</v>
      </c>
    </row>
    <row r="182" spans="1:9" x14ac:dyDescent="0.3">
      <c r="A182" s="1" t="s">
        <v>217</v>
      </c>
      <c r="B182" s="1" t="s">
        <v>16</v>
      </c>
      <c r="C182" s="1">
        <v>28</v>
      </c>
      <c r="D182" s="1" t="s">
        <v>11</v>
      </c>
      <c r="E182" s="1">
        <v>3</v>
      </c>
      <c r="F182" s="1">
        <v>900.24</v>
      </c>
      <c r="G182" s="1" t="s">
        <v>22</v>
      </c>
      <c r="H182" s="2">
        <v>44289</v>
      </c>
      <c r="I182" s="1" t="s">
        <v>46</v>
      </c>
    </row>
    <row r="183" spans="1:9" x14ac:dyDescent="0.3">
      <c r="A183" s="1" t="s">
        <v>218</v>
      </c>
      <c r="B183" s="1" t="s">
        <v>10</v>
      </c>
      <c r="C183" s="1">
        <v>44</v>
      </c>
      <c r="D183" s="1" t="s">
        <v>40</v>
      </c>
      <c r="E183" s="1">
        <v>1</v>
      </c>
      <c r="F183" s="1">
        <v>5.23</v>
      </c>
      <c r="G183" s="1" t="s">
        <v>22</v>
      </c>
      <c r="H183" s="2">
        <v>44745</v>
      </c>
      <c r="I183" s="1" t="s">
        <v>25</v>
      </c>
    </row>
    <row r="184" spans="1:9" x14ac:dyDescent="0.3">
      <c r="A184" s="1" t="s">
        <v>219</v>
      </c>
      <c r="B184" s="1" t="s">
        <v>10</v>
      </c>
      <c r="C184" s="1">
        <v>26</v>
      </c>
      <c r="D184" s="1" t="s">
        <v>40</v>
      </c>
      <c r="E184" s="1">
        <v>4</v>
      </c>
      <c r="F184" s="1">
        <v>20.92</v>
      </c>
      <c r="G184" s="1" t="s">
        <v>22</v>
      </c>
      <c r="H184" s="2">
        <v>44241</v>
      </c>
      <c r="I184" s="1" t="s">
        <v>36</v>
      </c>
    </row>
    <row r="185" spans="1:9" x14ac:dyDescent="0.3">
      <c r="A185" s="1" t="s">
        <v>220</v>
      </c>
      <c r="B185" s="1" t="s">
        <v>10</v>
      </c>
      <c r="C185" s="1">
        <v>41</v>
      </c>
      <c r="D185" s="1" t="s">
        <v>32</v>
      </c>
      <c r="E185" s="1">
        <v>4</v>
      </c>
      <c r="F185" s="1">
        <v>162.63999999999999</v>
      </c>
      <c r="G185" s="1" t="s">
        <v>12</v>
      </c>
      <c r="H185" s="2">
        <v>44757</v>
      </c>
      <c r="I185" s="1" t="s">
        <v>49</v>
      </c>
    </row>
    <row r="186" spans="1:9" x14ac:dyDescent="0.3">
      <c r="A186" s="1" t="s">
        <v>221</v>
      </c>
      <c r="B186" s="1" t="s">
        <v>16</v>
      </c>
      <c r="C186" s="1">
        <v>50</v>
      </c>
      <c r="D186" s="1" t="s">
        <v>11</v>
      </c>
      <c r="E186" s="1">
        <v>4</v>
      </c>
      <c r="F186" s="1">
        <v>1200.32</v>
      </c>
      <c r="G186" s="1" t="s">
        <v>22</v>
      </c>
      <c r="H186" s="2">
        <v>44389</v>
      </c>
      <c r="I186" s="1" t="s">
        <v>49</v>
      </c>
    </row>
    <row r="187" spans="1:9" x14ac:dyDescent="0.3">
      <c r="A187" s="1" t="s">
        <v>222</v>
      </c>
      <c r="B187" s="1" t="s">
        <v>10</v>
      </c>
      <c r="C187" s="1">
        <v>23</v>
      </c>
      <c r="D187" s="1" t="s">
        <v>32</v>
      </c>
      <c r="E187" s="1">
        <v>3</v>
      </c>
      <c r="F187" s="1">
        <v>121.98</v>
      </c>
      <c r="G187" s="1" t="s">
        <v>22</v>
      </c>
      <c r="H187" s="2">
        <v>44700</v>
      </c>
      <c r="I187" s="1" t="s">
        <v>36</v>
      </c>
    </row>
    <row r="188" spans="1:9" x14ac:dyDescent="0.3">
      <c r="A188" s="1" t="s">
        <v>223</v>
      </c>
      <c r="B188" s="1" t="s">
        <v>10</v>
      </c>
      <c r="C188" s="1">
        <v>31</v>
      </c>
      <c r="D188" s="1" t="s">
        <v>32</v>
      </c>
      <c r="E188" s="1">
        <v>4</v>
      </c>
      <c r="F188" s="1">
        <v>162.63999999999999</v>
      </c>
      <c r="G188" s="1" t="s">
        <v>22</v>
      </c>
      <c r="H188" s="2">
        <v>44970</v>
      </c>
      <c r="I188" s="1" t="s">
        <v>25</v>
      </c>
    </row>
    <row r="189" spans="1:9" x14ac:dyDescent="0.3">
      <c r="A189" s="1" t="s">
        <v>224</v>
      </c>
      <c r="B189" s="1" t="s">
        <v>16</v>
      </c>
      <c r="C189" s="1">
        <v>26</v>
      </c>
      <c r="D189" s="1" t="s">
        <v>32</v>
      </c>
      <c r="E189" s="1">
        <v>5</v>
      </c>
      <c r="F189" s="1">
        <v>203.3</v>
      </c>
      <c r="G189" s="1" t="s">
        <v>12</v>
      </c>
      <c r="H189" s="2">
        <v>44892</v>
      </c>
      <c r="I189" s="1" t="s">
        <v>19</v>
      </c>
    </row>
    <row r="190" spans="1:9" x14ac:dyDescent="0.3">
      <c r="A190" s="1" t="s">
        <v>225</v>
      </c>
      <c r="B190" s="1" t="s">
        <v>10</v>
      </c>
      <c r="C190" s="1">
        <v>56</v>
      </c>
      <c r="D190" s="1" t="s">
        <v>40</v>
      </c>
      <c r="E190" s="1">
        <v>3</v>
      </c>
      <c r="F190" s="1">
        <v>15.69</v>
      </c>
      <c r="G190" s="1" t="s">
        <v>22</v>
      </c>
      <c r="H190" s="2">
        <v>44257</v>
      </c>
      <c r="I190" s="1" t="s">
        <v>49</v>
      </c>
    </row>
    <row r="191" spans="1:9" x14ac:dyDescent="0.3">
      <c r="A191" s="1" t="s">
        <v>226</v>
      </c>
      <c r="B191" s="1" t="s">
        <v>10</v>
      </c>
      <c r="C191" s="1">
        <v>34</v>
      </c>
      <c r="D191" s="1" t="s">
        <v>44</v>
      </c>
      <c r="E191" s="1">
        <v>4</v>
      </c>
      <c r="F191" s="1">
        <v>143.36000000000001</v>
      </c>
      <c r="G191" s="1" t="s">
        <v>22</v>
      </c>
      <c r="H191" s="2">
        <v>44485</v>
      </c>
      <c r="I191" s="1" t="s">
        <v>13</v>
      </c>
    </row>
    <row r="192" spans="1:9" x14ac:dyDescent="0.3">
      <c r="A192" s="1" t="s">
        <v>227</v>
      </c>
      <c r="B192" s="1" t="s">
        <v>10</v>
      </c>
      <c r="C192" s="1">
        <v>29</v>
      </c>
      <c r="D192" s="1" t="s">
        <v>11</v>
      </c>
      <c r="E192" s="1">
        <v>2</v>
      </c>
      <c r="F192" s="1">
        <v>600.16</v>
      </c>
      <c r="G192" s="1" t="s">
        <v>22</v>
      </c>
      <c r="H192" s="2">
        <v>44504</v>
      </c>
      <c r="I192" s="1" t="s">
        <v>13</v>
      </c>
    </row>
    <row r="193" spans="1:9" x14ac:dyDescent="0.3">
      <c r="A193" s="1" t="s">
        <v>228</v>
      </c>
      <c r="B193" s="1" t="s">
        <v>10</v>
      </c>
      <c r="C193" s="1">
        <v>20</v>
      </c>
      <c r="D193" s="1" t="s">
        <v>11</v>
      </c>
      <c r="E193" s="1">
        <v>1</v>
      </c>
      <c r="F193" s="1">
        <v>300.08</v>
      </c>
      <c r="G193" s="1" t="s">
        <v>12</v>
      </c>
      <c r="H193" s="2">
        <v>44937</v>
      </c>
      <c r="I193" s="1" t="s">
        <v>36</v>
      </c>
    </row>
    <row r="194" spans="1:9" x14ac:dyDescent="0.3">
      <c r="A194" s="1" t="s">
        <v>229</v>
      </c>
      <c r="B194" s="1" t="s">
        <v>10</v>
      </c>
      <c r="C194" s="1">
        <v>54</v>
      </c>
      <c r="D194" s="1" t="s">
        <v>32</v>
      </c>
      <c r="E194" s="1">
        <v>3</v>
      </c>
      <c r="F194" s="1">
        <v>121.98</v>
      </c>
      <c r="G194" s="1" t="s">
        <v>12</v>
      </c>
      <c r="H194" s="2">
        <v>44720</v>
      </c>
      <c r="I194" s="1" t="s">
        <v>19</v>
      </c>
    </row>
    <row r="195" spans="1:9" x14ac:dyDescent="0.3">
      <c r="A195" s="1" t="s">
        <v>230</v>
      </c>
      <c r="B195" s="1" t="s">
        <v>16</v>
      </c>
      <c r="C195" s="1">
        <v>40</v>
      </c>
      <c r="D195" s="1" t="s">
        <v>11</v>
      </c>
      <c r="E195" s="1">
        <v>4</v>
      </c>
      <c r="F195" s="1">
        <v>1200.32</v>
      </c>
      <c r="G195" s="1" t="s">
        <v>18</v>
      </c>
      <c r="H195" s="2">
        <v>44340</v>
      </c>
      <c r="I195" s="1" t="s">
        <v>23</v>
      </c>
    </row>
    <row r="196" spans="1:9" x14ac:dyDescent="0.3">
      <c r="A196" s="1" t="s">
        <v>231</v>
      </c>
      <c r="B196" s="1" t="s">
        <v>16</v>
      </c>
      <c r="C196" s="1">
        <v>40</v>
      </c>
      <c r="D196" s="1" t="s">
        <v>32</v>
      </c>
      <c r="E196" s="1">
        <v>5</v>
      </c>
      <c r="F196" s="1">
        <v>203.3</v>
      </c>
      <c r="G196" s="1" t="s">
        <v>22</v>
      </c>
      <c r="H196" s="2">
        <v>44214</v>
      </c>
      <c r="I196" s="1" t="s">
        <v>33</v>
      </c>
    </row>
    <row r="197" spans="1:9" x14ac:dyDescent="0.3">
      <c r="A197" s="1" t="s">
        <v>232</v>
      </c>
      <c r="B197" s="1" t="s">
        <v>16</v>
      </c>
      <c r="C197" s="1">
        <v>21</v>
      </c>
      <c r="D197" s="1" t="s">
        <v>28</v>
      </c>
      <c r="E197" s="1">
        <v>4</v>
      </c>
      <c r="F197" s="1">
        <v>60.6</v>
      </c>
      <c r="G197" s="1" t="s">
        <v>22</v>
      </c>
      <c r="H197" s="2">
        <v>44399</v>
      </c>
      <c r="I197" s="1" t="s">
        <v>36</v>
      </c>
    </row>
    <row r="198" spans="1:9" x14ac:dyDescent="0.3">
      <c r="A198" s="1" t="s">
        <v>233</v>
      </c>
      <c r="B198" s="1" t="s">
        <v>10</v>
      </c>
      <c r="C198" s="1">
        <v>32</v>
      </c>
      <c r="D198" s="1" t="s">
        <v>59</v>
      </c>
      <c r="E198" s="1">
        <v>2</v>
      </c>
      <c r="F198" s="1">
        <v>2100</v>
      </c>
      <c r="G198" s="1" t="s">
        <v>22</v>
      </c>
      <c r="H198" s="2">
        <v>44829</v>
      </c>
      <c r="I198" s="1" t="s">
        <v>52</v>
      </c>
    </row>
    <row r="199" spans="1:9" x14ac:dyDescent="0.3">
      <c r="A199" s="1" t="s">
        <v>234</v>
      </c>
      <c r="B199" s="1" t="s">
        <v>16</v>
      </c>
      <c r="C199" s="1">
        <v>47</v>
      </c>
      <c r="D199" s="1" t="s">
        <v>11</v>
      </c>
      <c r="E199" s="1">
        <v>3</v>
      </c>
      <c r="F199" s="1">
        <v>900.24</v>
      </c>
      <c r="G199" s="1" t="s">
        <v>12</v>
      </c>
      <c r="H199" s="2">
        <v>44449</v>
      </c>
      <c r="I199" s="1" t="s">
        <v>23</v>
      </c>
    </row>
    <row r="200" spans="1:9" x14ac:dyDescent="0.3">
      <c r="A200" s="1" t="s">
        <v>235</v>
      </c>
      <c r="B200" s="1" t="s">
        <v>10</v>
      </c>
      <c r="C200" s="1">
        <v>41</v>
      </c>
      <c r="D200" s="1" t="s">
        <v>104</v>
      </c>
      <c r="E200" s="1">
        <v>3</v>
      </c>
      <c r="F200" s="1">
        <v>35.19</v>
      </c>
      <c r="G200" s="1" t="s">
        <v>22</v>
      </c>
      <c r="H200" s="2">
        <v>44577</v>
      </c>
      <c r="I200" s="1" t="s">
        <v>46</v>
      </c>
    </row>
    <row r="201" spans="1:9" x14ac:dyDescent="0.3">
      <c r="A201" s="1" t="s">
        <v>236</v>
      </c>
      <c r="B201" s="1" t="s">
        <v>16</v>
      </c>
      <c r="C201" s="1">
        <v>33</v>
      </c>
      <c r="D201" s="1" t="s">
        <v>32</v>
      </c>
      <c r="E201" s="1">
        <v>5</v>
      </c>
      <c r="F201" s="1">
        <v>203.3</v>
      </c>
      <c r="G201" s="1" t="s">
        <v>22</v>
      </c>
      <c r="H201" s="2">
        <v>44878</v>
      </c>
      <c r="I201" s="1" t="s">
        <v>13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DCD8-F76C-4F21-9FF4-1BB014052204}">
  <dimension ref="A1:G5"/>
  <sheetViews>
    <sheetView zoomScale="140" zoomScaleNormal="140" workbookViewId="0">
      <selection activeCell="G2" sqref="G2"/>
    </sheetView>
  </sheetViews>
  <sheetFormatPr defaultRowHeight="14.4" x14ac:dyDescent="0.3"/>
  <cols>
    <col min="1" max="1" width="20.44140625" style="4" customWidth="1"/>
    <col min="2" max="2" width="31.44140625" customWidth="1"/>
    <col min="7" max="7" width="18.88671875" bestFit="1" customWidth="1"/>
  </cols>
  <sheetData>
    <row r="1" spans="1:7" x14ac:dyDescent="0.3">
      <c r="A1" s="25" t="s">
        <v>502</v>
      </c>
      <c r="C1">
        <f>LEN(A1)</f>
        <v>15</v>
      </c>
      <c r="E1" t="s">
        <v>528</v>
      </c>
      <c r="F1" t="s">
        <v>529</v>
      </c>
      <c r="G1" t="str">
        <f>_xlfn.CONCAT(E1," ",F1)</f>
        <v>Poomathi Thangarasu</v>
      </c>
    </row>
    <row r="2" spans="1:7" x14ac:dyDescent="0.3">
      <c r="B2">
        <f>LEN(A1)</f>
        <v>15</v>
      </c>
    </row>
    <row r="3" spans="1:7" x14ac:dyDescent="0.3">
      <c r="A3" s="4" t="s">
        <v>237</v>
      </c>
      <c r="B3">
        <f>FIND("apple",A1,5)</f>
        <v>11</v>
      </c>
    </row>
    <row r="5" spans="1:7" x14ac:dyDescent="0.3">
      <c r="A5" s="4" t="s">
        <v>238</v>
      </c>
      <c r="B5">
        <f>LEN(A1)</f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0ADE-1DD4-4833-A064-15776B5C2F9C}">
  <dimension ref="A1:E9"/>
  <sheetViews>
    <sheetView zoomScale="140" zoomScaleNormal="140" workbookViewId="0">
      <selection activeCell="E2" sqref="E2:E9"/>
    </sheetView>
  </sheetViews>
  <sheetFormatPr defaultRowHeight="14.4" x14ac:dyDescent="0.3"/>
  <cols>
    <col min="2" max="2" width="11.33203125" customWidth="1"/>
    <col min="3" max="3" width="10.6640625" customWidth="1"/>
    <col min="4" max="4" width="17.109375" customWidth="1"/>
    <col min="5" max="5" width="16.6640625" customWidth="1"/>
    <col min="6" max="6" width="19.5546875" customWidth="1"/>
  </cols>
  <sheetData>
    <row r="1" spans="1:5" s="4" customFormat="1" ht="15.6" x14ac:dyDescent="0.3">
      <c r="A1" s="26" t="s">
        <v>239</v>
      </c>
      <c r="B1" s="26" t="s">
        <v>240</v>
      </c>
      <c r="C1" s="26" t="s">
        <v>241</v>
      </c>
      <c r="D1" s="26" t="s">
        <v>242</v>
      </c>
      <c r="E1" s="26" t="s">
        <v>242</v>
      </c>
    </row>
    <row r="2" spans="1:5" ht="15.6" x14ac:dyDescent="0.3">
      <c r="A2" s="27">
        <v>1</v>
      </c>
      <c r="B2" s="27" t="s">
        <v>243</v>
      </c>
      <c r="C2" s="27" t="s">
        <v>244</v>
      </c>
      <c r="D2" s="28" t="str">
        <f>_xlfn.CONCAT(B2," ",C2)</f>
        <v>Alex Don</v>
      </c>
      <c r="E2" s="27" t="str">
        <f>B2&amp;" "&amp;C2</f>
        <v>Alex Don</v>
      </c>
    </row>
    <row r="3" spans="1:5" ht="15.6" x14ac:dyDescent="0.3">
      <c r="A3" s="27">
        <v>2</v>
      </c>
      <c r="B3" s="27" t="s">
        <v>245</v>
      </c>
      <c r="C3" s="27" t="s">
        <v>246</v>
      </c>
      <c r="D3" s="28" t="str">
        <f t="shared" ref="D3:D9" si="0">_xlfn.CONCAT(B3," ",C3)</f>
        <v>Anita Beesly</v>
      </c>
      <c r="E3" s="27" t="str">
        <f t="shared" ref="E3:E9" si="1">B3&amp;" "&amp;C3</f>
        <v>Anita Beesly</v>
      </c>
    </row>
    <row r="4" spans="1:5" ht="15.6" x14ac:dyDescent="0.3">
      <c r="A4" s="27">
        <v>3</v>
      </c>
      <c r="B4" s="27" t="s">
        <v>247</v>
      </c>
      <c r="C4" s="27" t="s">
        <v>248</v>
      </c>
      <c r="D4" s="28" t="str">
        <f t="shared" si="0"/>
        <v>Rahul Kapoor</v>
      </c>
      <c r="E4" s="27" t="str">
        <f t="shared" si="1"/>
        <v>Rahul Kapoor</v>
      </c>
    </row>
    <row r="5" spans="1:5" ht="15.6" x14ac:dyDescent="0.3">
      <c r="A5" s="27">
        <v>4</v>
      </c>
      <c r="B5" s="27" t="s">
        <v>249</v>
      </c>
      <c r="C5" s="27" t="s">
        <v>250</v>
      </c>
      <c r="D5" s="28" t="str">
        <f t="shared" si="0"/>
        <v>Pankaj Patel</v>
      </c>
      <c r="E5" s="27" t="str">
        <f t="shared" si="1"/>
        <v>Pankaj Patel</v>
      </c>
    </row>
    <row r="6" spans="1:5" ht="15.6" x14ac:dyDescent="0.3">
      <c r="A6" s="27">
        <v>5</v>
      </c>
      <c r="B6" s="27" t="s">
        <v>251</v>
      </c>
      <c r="C6" s="27" t="s">
        <v>252</v>
      </c>
      <c r="D6" s="28" t="str">
        <f t="shared" si="0"/>
        <v>Josh Maxwell</v>
      </c>
      <c r="E6" s="27" t="str">
        <f t="shared" si="1"/>
        <v>Josh Maxwell</v>
      </c>
    </row>
    <row r="7" spans="1:5" ht="15.6" x14ac:dyDescent="0.3">
      <c r="A7" s="27">
        <v>6</v>
      </c>
      <c r="B7" s="27" t="s">
        <v>253</v>
      </c>
      <c r="C7" s="27" t="s">
        <v>254</v>
      </c>
      <c r="D7" s="28" t="str">
        <f t="shared" si="0"/>
        <v>Rajesh Patil</v>
      </c>
      <c r="E7" s="27" t="str">
        <f t="shared" si="1"/>
        <v>Rajesh Patil</v>
      </c>
    </row>
    <row r="8" spans="1:5" ht="15.6" x14ac:dyDescent="0.3">
      <c r="A8" s="27">
        <v>7</v>
      </c>
      <c r="B8" s="27" t="s">
        <v>255</v>
      </c>
      <c r="C8" s="27" t="s">
        <v>256</v>
      </c>
      <c r="D8" s="28" t="str">
        <f t="shared" si="0"/>
        <v>Ava Liam</v>
      </c>
      <c r="E8" s="27" t="str">
        <f t="shared" si="1"/>
        <v>Ava Liam</v>
      </c>
    </row>
    <row r="9" spans="1:5" ht="15.6" x14ac:dyDescent="0.3">
      <c r="A9" s="27">
        <v>8</v>
      </c>
      <c r="B9" s="27" t="s">
        <v>257</v>
      </c>
      <c r="C9" s="27" t="s">
        <v>258</v>
      </c>
      <c r="D9" s="28" t="str">
        <f>_xlfn.CONCAT(B9," ",C9)</f>
        <v>Sofia Jackson</v>
      </c>
      <c r="E9" s="27" t="str">
        <f t="shared" si="1"/>
        <v>Sofia Jackson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0BA2-7CC2-4E88-B35A-B2C832E19510}">
  <dimension ref="B2:D6"/>
  <sheetViews>
    <sheetView zoomScale="140" zoomScaleNormal="140" workbookViewId="0">
      <selection activeCell="A8" sqref="A8:XFD16"/>
    </sheetView>
  </sheetViews>
  <sheetFormatPr defaultColWidth="9.109375" defaultRowHeight="15.6" x14ac:dyDescent="0.3"/>
  <cols>
    <col min="1" max="1" width="17" style="6" customWidth="1"/>
    <col min="2" max="2" width="15.109375" style="6" customWidth="1"/>
    <col min="3" max="3" width="10" style="6" customWidth="1"/>
    <col min="4" max="4" width="19.33203125" style="17" customWidth="1"/>
    <col min="5" max="16384" width="9.109375" style="6"/>
  </cols>
  <sheetData>
    <row r="2" spans="2:4" x14ac:dyDescent="0.3">
      <c r="B2" s="44" t="s">
        <v>259</v>
      </c>
      <c r="D2" s="44" t="s">
        <v>259</v>
      </c>
    </row>
    <row r="3" spans="2:4" x14ac:dyDescent="0.3">
      <c r="B3"/>
      <c r="D3"/>
    </row>
    <row r="4" spans="2:4" x14ac:dyDescent="0.3">
      <c r="B4" s="45" t="s">
        <v>260</v>
      </c>
      <c r="D4" s="45" t="s">
        <v>260</v>
      </c>
    </row>
    <row r="5" spans="2:4" x14ac:dyDescent="0.3">
      <c r="B5"/>
      <c r="D5"/>
    </row>
    <row r="6" spans="2:4" x14ac:dyDescent="0.3">
      <c r="B6" s="46" t="s">
        <v>261</v>
      </c>
      <c r="D6" s="46" t="s">
        <v>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FDF0-85DF-4EEC-A932-A94FD54F3120}">
  <dimension ref="A1:D7"/>
  <sheetViews>
    <sheetView zoomScale="140" zoomScaleNormal="140" workbookViewId="0">
      <selection activeCell="B2" sqref="B2"/>
    </sheetView>
  </sheetViews>
  <sheetFormatPr defaultRowHeight="14.4" x14ac:dyDescent="0.3"/>
  <cols>
    <col min="1" max="1" width="16.5546875" style="4" customWidth="1"/>
    <col min="2" max="2" width="18.33203125" customWidth="1"/>
    <col min="4" max="4" width="8.88671875" style="29"/>
  </cols>
  <sheetData>
    <row r="1" spans="1:4" x14ac:dyDescent="0.3">
      <c r="D1" s="30">
        <v>12</v>
      </c>
    </row>
    <row r="2" spans="1:4" x14ac:dyDescent="0.3">
      <c r="A2" s="4" t="s">
        <v>262</v>
      </c>
      <c r="B2" s="51">
        <v>80002465</v>
      </c>
      <c r="D2" s="30">
        <v>15</v>
      </c>
    </row>
    <row r="3" spans="1:4" x14ac:dyDescent="0.3">
      <c r="A3" s="4" t="s">
        <v>263</v>
      </c>
      <c r="B3" s="47">
        <v>100</v>
      </c>
      <c r="D3" s="30">
        <v>48</v>
      </c>
    </row>
    <row r="4" spans="1:4" x14ac:dyDescent="0.3">
      <c r="A4" s="4" t="s">
        <v>264</v>
      </c>
      <c r="B4" s="48">
        <v>1578</v>
      </c>
      <c r="D4" s="30">
        <v>54</v>
      </c>
    </row>
    <row r="5" spans="1:4" x14ac:dyDescent="0.3">
      <c r="A5" s="4" t="s">
        <v>265</v>
      </c>
      <c r="B5" s="49">
        <v>45291</v>
      </c>
    </row>
    <row r="6" spans="1:4" x14ac:dyDescent="0.3">
      <c r="A6" s="4" t="s">
        <v>266</v>
      </c>
      <c r="B6" s="31">
        <v>0.4375</v>
      </c>
    </row>
    <row r="7" spans="1:4" x14ac:dyDescent="0.3">
      <c r="A7" s="4" t="s">
        <v>267</v>
      </c>
      <c r="B7" s="50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86FA-2573-4558-B0B3-0E0D06D1F931}">
  <dimension ref="A1:H3"/>
  <sheetViews>
    <sheetView zoomScale="140" zoomScaleNormal="140" workbookViewId="0">
      <selection activeCell="B2" sqref="B2"/>
    </sheetView>
  </sheetViews>
  <sheetFormatPr defaultColWidth="20.44140625" defaultRowHeight="29.25" customHeight="1" x14ac:dyDescent="0.3"/>
  <sheetData>
    <row r="1" spans="1:8" ht="29.25" customHeight="1" x14ac:dyDescent="0.3">
      <c r="A1" s="7" t="s">
        <v>268</v>
      </c>
      <c r="B1" s="7" t="s">
        <v>269</v>
      </c>
      <c r="C1" s="7" t="s">
        <v>530</v>
      </c>
      <c r="D1" s="7" t="s">
        <v>531</v>
      </c>
      <c r="E1" s="7" t="s">
        <v>532</v>
      </c>
      <c r="F1" s="7" t="s">
        <v>270</v>
      </c>
      <c r="G1" s="7"/>
      <c r="H1" s="21">
        <f ca="1">TODAY()</f>
        <v>45640</v>
      </c>
    </row>
    <row r="2" spans="1:8" ht="29.25" customHeight="1" x14ac:dyDescent="0.3">
      <c r="A2" s="8">
        <v>45200</v>
      </c>
      <c r="B2" s="8">
        <v>45219</v>
      </c>
      <c r="C2" s="54">
        <v>20</v>
      </c>
      <c r="D2" s="54">
        <v>10</v>
      </c>
      <c r="E2" s="54">
        <v>2023</v>
      </c>
      <c r="F2" s="52">
        <f>_xlfn.DAYS(B2,A2)+1</f>
        <v>20</v>
      </c>
      <c r="G2" s="53">
        <f>EOMONTH(A2,1)</f>
        <v>45260</v>
      </c>
      <c r="H2" s="32">
        <f ca="1">EOMONTH(TODAY(),-1)</f>
        <v>45626</v>
      </c>
    </row>
    <row r="3" spans="1:8" ht="29.25" customHeight="1" x14ac:dyDescent="0.3">
      <c r="A3" s="8">
        <v>45005</v>
      </c>
      <c r="B3" s="8">
        <v>45291</v>
      </c>
      <c r="C3" s="8">
        <f>DATE(E2,D2,C2)</f>
        <v>45219</v>
      </c>
      <c r="D3" s="8"/>
      <c r="E3" s="8"/>
      <c r="F3" s="52">
        <f>MONTH(B3)</f>
        <v>12</v>
      </c>
      <c r="G3" s="52"/>
      <c r="H3" s="32">
        <f>EOMONTH(B3,0)</f>
        <v>45291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68AB-5982-4C29-B3BC-DE3EF0194AD6}">
  <dimension ref="A1:F6"/>
  <sheetViews>
    <sheetView zoomScale="140" zoomScaleNormal="140" workbookViewId="0">
      <selection activeCell="F5" sqref="F5"/>
    </sheetView>
  </sheetViews>
  <sheetFormatPr defaultColWidth="20.88671875" defaultRowHeight="15.6" x14ac:dyDescent="0.3"/>
  <cols>
    <col min="1" max="1" width="20.88671875" style="5"/>
    <col min="2" max="2" width="14.109375" style="5" customWidth="1"/>
    <col min="3" max="3" width="14.5546875" style="5" customWidth="1"/>
    <col min="4" max="4" width="7.44140625" style="5" customWidth="1"/>
    <col min="5" max="5" width="25.44140625" style="5" customWidth="1"/>
    <col min="6" max="6" width="36.6640625" style="5" customWidth="1"/>
    <col min="7" max="16384" width="20.88671875" style="5"/>
  </cols>
  <sheetData>
    <row r="1" spans="1:6" s="6" customFormat="1" x14ac:dyDescent="0.3">
      <c r="B1" s="6" t="s">
        <v>271</v>
      </c>
      <c r="C1" s="6" t="s">
        <v>272</v>
      </c>
    </row>
    <row r="2" spans="1:6" x14ac:dyDescent="0.3">
      <c r="A2" s="5" t="s">
        <v>503</v>
      </c>
      <c r="B2" s="5" t="s">
        <v>273</v>
      </c>
      <c r="C2" s="9">
        <v>1</v>
      </c>
      <c r="E2" s="5" t="s">
        <v>274</v>
      </c>
    </row>
    <row r="3" spans="1:6" x14ac:dyDescent="0.3">
      <c r="A3" s="5" t="s">
        <v>503</v>
      </c>
      <c r="B3" s="5" t="s">
        <v>275</v>
      </c>
      <c r="C3" s="9">
        <v>0.75</v>
      </c>
    </row>
    <row r="4" spans="1:6" x14ac:dyDescent="0.3">
      <c r="A4" s="5" t="s">
        <v>503</v>
      </c>
      <c r="B4" s="5" t="s">
        <v>276</v>
      </c>
      <c r="C4" s="9">
        <v>1.25</v>
      </c>
      <c r="E4" s="5" t="s">
        <v>276</v>
      </c>
      <c r="F4" s="5">
        <f>VLOOKUP(E4,$B$2:$C$6,2,0)</f>
        <v>1.25</v>
      </c>
    </row>
    <row r="5" spans="1:6" x14ac:dyDescent="0.3">
      <c r="A5" s="5" t="s">
        <v>503</v>
      </c>
      <c r="B5" s="5" t="s">
        <v>277</v>
      </c>
      <c r="C5" s="9">
        <v>2</v>
      </c>
      <c r="E5" s="5" t="s">
        <v>273</v>
      </c>
      <c r="F5" s="5">
        <f>VLOOKUP(E5,$B$2:$C$6,2,0)</f>
        <v>1</v>
      </c>
    </row>
    <row r="6" spans="1:6" x14ac:dyDescent="0.3">
      <c r="A6" s="5" t="s">
        <v>503</v>
      </c>
      <c r="B6" s="5" t="s">
        <v>278</v>
      </c>
      <c r="C6" s="9">
        <v>2.5</v>
      </c>
      <c r="E6" s="5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E921-2665-49CA-AA34-DD6BCD1CC6AF}">
  <dimension ref="A1:H8"/>
  <sheetViews>
    <sheetView zoomScale="140" zoomScaleNormal="140" workbookViewId="0">
      <selection activeCell="C3" activeCellId="1" sqref="B5 C3"/>
    </sheetView>
  </sheetViews>
  <sheetFormatPr defaultColWidth="10.44140625" defaultRowHeight="18.75" customHeight="1" x14ac:dyDescent="0.3"/>
  <cols>
    <col min="1" max="4" width="10.44140625" style="11"/>
    <col min="5" max="5" width="4.33203125" style="11" customWidth="1"/>
    <col min="6" max="6" width="35.109375" style="11" customWidth="1"/>
    <col min="7" max="7" width="40" style="11" customWidth="1"/>
    <col min="8" max="16384" width="10.44140625" style="11"/>
  </cols>
  <sheetData>
    <row r="1" spans="1:8" s="10" customFormat="1" ht="18.75" customHeight="1" x14ac:dyDescent="0.3">
      <c r="A1" s="10" t="s">
        <v>279</v>
      </c>
      <c r="B1" s="10" t="s">
        <v>496</v>
      </c>
      <c r="C1" s="10" t="s">
        <v>497</v>
      </c>
      <c r="D1" s="10" t="s">
        <v>498</v>
      </c>
    </row>
    <row r="2" spans="1:8" ht="18.75" customHeight="1" x14ac:dyDescent="0.3">
      <c r="A2" s="11" t="s">
        <v>280</v>
      </c>
      <c r="B2" s="11">
        <v>85</v>
      </c>
      <c r="C2" s="11">
        <v>92</v>
      </c>
      <c r="D2" s="11">
        <v>88</v>
      </c>
      <c r="F2" s="12" t="s">
        <v>281</v>
      </c>
      <c r="H2" s="11">
        <f>HLOOKUP(G3,$A$7:$F$8,2,0)</f>
        <v>200</v>
      </c>
    </row>
    <row r="3" spans="1:8" ht="18.75" customHeight="1" x14ac:dyDescent="0.3">
      <c r="A3" s="11" t="s">
        <v>282</v>
      </c>
      <c r="B3" s="11">
        <v>78</v>
      </c>
      <c r="C3" s="10">
        <v>87</v>
      </c>
      <c r="D3" s="11">
        <v>80</v>
      </c>
      <c r="F3" s="11">
        <f>HLOOKUP("Jan",A1:D5,5,0)</f>
        <v>79</v>
      </c>
      <c r="G3" s="11" t="s">
        <v>504</v>
      </c>
    </row>
    <row r="4" spans="1:8" ht="18.75" customHeight="1" x14ac:dyDescent="0.3">
      <c r="A4" s="11" t="s">
        <v>283</v>
      </c>
      <c r="B4" s="11">
        <v>92</v>
      </c>
      <c r="C4" s="11">
        <v>95</v>
      </c>
      <c r="D4" s="11">
        <v>91</v>
      </c>
      <c r="G4" s="11" t="s">
        <v>505</v>
      </c>
      <c r="H4" s="11">
        <v>150</v>
      </c>
    </row>
    <row r="5" spans="1:8" ht="18.75" customHeight="1" x14ac:dyDescent="0.3">
      <c r="A5" s="11" t="s">
        <v>284</v>
      </c>
      <c r="B5" s="10">
        <v>79</v>
      </c>
      <c r="C5" s="11">
        <v>84</v>
      </c>
      <c r="D5" s="11">
        <v>88</v>
      </c>
      <c r="G5" s="11" t="s">
        <v>506</v>
      </c>
      <c r="H5" s="11">
        <v>100</v>
      </c>
    </row>
    <row r="6" spans="1:8" ht="18.75" customHeight="1" x14ac:dyDescent="0.3">
      <c r="G6" s="11" t="s">
        <v>507</v>
      </c>
      <c r="H6" s="11">
        <v>100</v>
      </c>
    </row>
    <row r="7" spans="1:8" ht="18.75" customHeight="1" x14ac:dyDescent="0.3">
      <c r="A7" s="11" t="s">
        <v>504</v>
      </c>
      <c r="B7" s="11" t="s">
        <v>497</v>
      </c>
      <c r="C7" s="11" t="s">
        <v>498</v>
      </c>
      <c r="D7" s="11" t="s">
        <v>499</v>
      </c>
      <c r="E7" s="11" t="s">
        <v>500</v>
      </c>
      <c r="F7" s="11" t="s">
        <v>501</v>
      </c>
      <c r="G7" s="11" t="s">
        <v>508</v>
      </c>
      <c r="H7" s="11">
        <v>90</v>
      </c>
    </row>
    <row r="8" spans="1:8" ht="18.75" customHeight="1" x14ac:dyDescent="0.3">
      <c r="A8" s="11">
        <v>200</v>
      </c>
      <c r="B8" s="11">
        <v>400</v>
      </c>
      <c r="C8" s="11">
        <v>600</v>
      </c>
      <c r="D8" s="11">
        <v>800</v>
      </c>
      <c r="E8" s="11">
        <v>1000</v>
      </c>
      <c r="F8" s="11">
        <v>1200</v>
      </c>
    </row>
  </sheetData>
  <phoneticPr fontId="2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899B-198F-435F-B78C-3313E0797E89}">
  <dimension ref="A1:D201"/>
  <sheetViews>
    <sheetView zoomScale="140" zoomScaleNormal="140" workbookViewId="0">
      <selection activeCell="D2" sqref="D2:D201"/>
    </sheetView>
  </sheetViews>
  <sheetFormatPr defaultRowHeight="14.4" x14ac:dyDescent="0.3"/>
  <cols>
    <col min="1" max="1" width="15.109375" style="1" customWidth="1"/>
    <col min="2" max="2" width="13" style="1" customWidth="1"/>
    <col min="3" max="3" width="19.6640625" customWidth="1"/>
    <col min="4" max="4" width="24.33203125" style="1" customWidth="1"/>
  </cols>
  <sheetData>
    <row r="1" spans="1:4" x14ac:dyDescent="0.3">
      <c r="A1" s="3" t="s">
        <v>1</v>
      </c>
      <c r="B1" s="3" t="s">
        <v>2</v>
      </c>
      <c r="C1" s="3" t="s">
        <v>533</v>
      </c>
      <c r="D1" s="3" t="s">
        <v>285</v>
      </c>
    </row>
    <row r="2" spans="1:4" x14ac:dyDescent="0.3">
      <c r="A2" s="1" t="s">
        <v>10</v>
      </c>
      <c r="B2" s="1">
        <v>28</v>
      </c>
      <c r="C2" s="1" t="str">
        <f>IF(AND(NOT(ISBLANK(B2)),B2&lt;30),"&lt;30",IF(AND(B2&gt;=30,B2&lt;=40),"30-40","40+"))</f>
        <v>&lt;30</v>
      </c>
      <c r="D2" s="1">
        <f>IFERROR(1/B2,0)</f>
        <v>3.5714285714285712E-2</v>
      </c>
    </row>
    <row r="3" spans="1:4" x14ac:dyDescent="0.3">
      <c r="A3" s="1" t="s">
        <v>16</v>
      </c>
      <c r="B3" s="1">
        <v>21</v>
      </c>
      <c r="C3" s="1" t="str">
        <f t="shared" ref="C3:C66" si="0">IF(AND(NOT(ISBLANK(B3)),B3&lt;30),"&lt;30",IF(AND(B3&gt;=30,B3&lt;=40),"30-40","40+"))</f>
        <v>&lt;30</v>
      </c>
      <c r="D3" s="1">
        <f t="shared" ref="D3:D66" si="1">IFERROR(1/B3,0)</f>
        <v>4.7619047619047616E-2</v>
      </c>
    </row>
    <row r="4" spans="1:4" x14ac:dyDescent="0.3">
      <c r="A4" s="1" t="s">
        <v>16</v>
      </c>
      <c r="B4" s="1">
        <v>20</v>
      </c>
      <c r="C4" s="1" t="str">
        <f t="shared" si="0"/>
        <v>&lt;30</v>
      </c>
      <c r="D4" s="1">
        <f t="shared" si="1"/>
        <v>0.05</v>
      </c>
    </row>
    <row r="5" spans="1:4" x14ac:dyDescent="0.3">
      <c r="A5" s="1" t="s">
        <v>10</v>
      </c>
      <c r="B5" s="3"/>
      <c r="C5" s="1" t="str">
        <f t="shared" si="0"/>
        <v>40+</v>
      </c>
      <c r="D5" s="1">
        <f t="shared" si="1"/>
        <v>0</v>
      </c>
    </row>
    <row r="6" spans="1:4" x14ac:dyDescent="0.3">
      <c r="A6" s="1" t="s">
        <v>10</v>
      </c>
      <c r="B6" s="1">
        <v>53</v>
      </c>
      <c r="C6" s="1" t="str">
        <f t="shared" si="0"/>
        <v>40+</v>
      </c>
      <c r="D6" s="1">
        <f t="shared" si="1"/>
        <v>1.8867924528301886E-2</v>
      </c>
    </row>
    <row r="7" spans="1:4" x14ac:dyDescent="0.3">
      <c r="A7" s="1" t="s">
        <v>10</v>
      </c>
      <c r="B7" s="1">
        <v>28</v>
      </c>
      <c r="C7" s="1" t="str">
        <f t="shared" si="0"/>
        <v>&lt;30</v>
      </c>
      <c r="D7" s="1">
        <f t="shared" si="1"/>
        <v>3.5714285714285712E-2</v>
      </c>
    </row>
    <row r="8" spans="1:4" x14ac:dyDescent="0.3">
      <c r="A8" s="1" t="s">
        <v>10</v>
      </c>
      <c r="B8" s="1">
        <v>49</v>
      </c>
      <c r="C8" s="1" t="str">
        <f t="shared" si="0"/>
        <v>40+</v>
      </c>
      <c r="D8" s="1">
        <f t="shared" si="1"/>
        <v>2.0408163265306121E-2</v>
      </c>
    </row>
    <row r="9" spans="1:4" x14ac:dyDescent="0.3">
      <c r="A9" s="1" t="s">
        <v>10</v>
      </c>
      <c r="B9" s="3"/>
      <c r="C9" s="1" t="str">
        <f t="shared" si="0"/>
        <v>40+</v>
      </c>
      <c r="D9" s="1">
        <f t="shared" si="1"/>
        <v>0</v>
      </c>
    </row>
    <row r="10" spans="1:4" x14ac:dyDescent="0.3">
      <c r="A10" s="1" t="s">
        <v>16</v>
      </c>
      <c r="B10" s="1">
        <v>69</v>
      </c>
      <c r="C10" s="1" t="str">
        <f t="shared" si="0"/>
        <v>40+</v>
      </c>
      <c r="D10" s="1">
        <f t="shared" si="1"/>
        <v>1.4492753623188406E-2</v>
      </c>
    </row>
    <row r="11" spans="1:4" x14ac:dyDescent="0.3">
      <c r="A11" s="1" t="s">
        <v>10</v>
      </c>
      <c r="B11" s="1">
        <v>60</v>
      </c>
      <c r="C11" s="1" t="str">
        <f t="shared" si="0"/>
        <v>40+</v>
      </c>
      <c r="D11" s="1">
        <f t="shared" si="1"/>
        <v>1.6666666666666666E-2</v>
      </c>
    </row>
    <row r="12" spans="1:4" x14ac:dyDescent="0.3">
      <c r="A12" s="1" t="s">
        <v>10</v>
      </c>
      <c r="B12" s="1">
        <v>36</v>
      </c>
      <c r="C12" s="1" t="str">
        <f t="shared" si="0"/>
        <v>30-40</v>
      </c>
      <c r="D12" s="1">
        <f t="shared" si="1"/>
        <v>2.7777777777777776E-2</v>
      </c>
    </row>
    <row r="13" spans="1:4" x14ac:dyDescent="0.3">
      <c r="A13" s="1" t="s">
        <v>10</v>
      </c>
      <c r="B13" s="1">
        <v>29</v>
      </c>
      <c r="C13" s="1" t="str">
        <f t="shared" si="0"/>
        <v>&lt;30</v>
      </c>
      <c r="D13" s="1">
        <f t="shared" si="1"/>
        <v>3.4482758620689655E-2</v>
      </c>
    </row>
    <row r="14" spans="1:4" x14ac:dyDescent="0.3">
      <c r="A14" s="1" t="s">
        <v>10</v>
      </c>
      <c r="B14" s="1">
        <v>67</v>
      </c>
      <c r="C14" s="1" t="str">
        <f t="shared" si="0"/>
        <v>40+</v>
      </c>
      <c r="D14" s="1">
        <f t="shared" si="1"/>
        <v>1.4925373134328358E-2</v>
      </c>
    </row>
    <row r="15" spans="1:4" x14ac:dyDescent="0.3">
      <c r="A15" s="1" t="s">
        <v>16</v>
      </c>
      <c r="B15" s="1">
        <v>25</v>
      </c>
      <c r="C15" s="1" t="str">
        <f t="shared" si="0"/>
        <v>&lt;30</v>
      </c>
      <c r="D15" s="1">
        <f t="shared" si="1"/>
        <v>0.04</v>
      </c>
    </row>
    <row r="16" spans="1:4" x14ac:dyDescent="0.3">
      <c r="A16" s="1" t="s">
        <v>10</v>
      </c>
      <c r="B16" s="1">
        <v>67</v>
      </c>
      <c r="C16" s="1" t="str">
        <f t="shared" si="0"/>
        <v>40+</v>
      </c>
      <c r="D16" s="1">
        <f t="shared" si="1"/>
        <v>1.4925373134328358E-2</v>
      </c>
    </row>
    <row r="17" spans="1:4" x14ac:dyDescent="0.3">
      <c r="A17" s="1" t="s">
        <v>16</v>
      </c>
      <c r="B17" s="1">
        <v>24</v>
      </c>
      <c r="C17" s="1" t="str">
        <f t="shared" si="0"/>
        <v>&lt;30</v>
      </c>
      <c r="D17" s="1">
        <f t="shared" si="1"/>
        <v>4.1666666666666664E-2</v>
      </c>
    </row>
    <row r="18" spans="1:4" x14ac:dyDescent="0.3">
      <c r="A18" s="1" t="s">
        <v>16</v>
      </c>
      <c r="B18" s="1">
        <v>65</v>
      </c>
      <c r="C18" s="1" t="str">
        <f t="shared" si="0"/>
        <v>40+</v>
      </c>
      <c r="D18" s="1">
        <f t="shared" si="1"/>
        <v>1.5384615384615385E-2</v>
      </c>
    </row>
    <row r="19" spans="1:4" x14ac:dyDescent="0.3">
      <c r="A19" s="1" t="s">
        <v>10</v>
      </c>
      <c r="B19" s="1">
        <v>42</v>
      </c>
      <c r="C19" s="1" t="str">
        <f t="shared" si="0"/>
        <v>40+</v>
      </c>
      <c r="D19" s="1">
        <f t="shared" si="1"/>
        <v>2.3809523809523808E-2</v>
      </c>
    </row>
    <row r="20" spans="1:4" x14ac:dyDescent="0.3">
      <c r="A20" s="1" t="s">
        <v>10</v>
      </c>
      <c r="B20" s="1">
        <v>46</v>
      </c>
      <c r="C20" s="1" t="str">
        <f t="shared" si="0"/>
        <v>40+</v>
      </c>
      <c r="D20" s="1">
        <f t="shared" si="1"/>
        <v>2.1739130434782608E-2</v>
      </c>
    </row>
    <row r="21" spans="1:4" x14ac:dyDescent="0.3">
      <c r="A21" s="1" t="s">
        <v>16</v>
      </c>
      <c r="B21" s="1">
        <v>24</v>
      </c>
      <c r="C21" s="1" t="str">
        <f t="shared" si="0"/>
        <v>&lt;30</v>
      </c>
      <c r="D21" s="1">
        <f t="shared" si="1"/>
        <v>4.1666666666666664E-2</v>
      </c>
    </row>
    <row r="22" spans="1:4" x14ac:dyDescent="0.3">
      <c r="A22" s="1" t="s">
        <v>16</v>
      </c>
      <c r="B22" s="1">
        <v>23</v>
      </c>
      <c r="C22" s="1" t="str">
        <f t="shared" si="0"/>
        <v>&lt;30</v>
      </c>
      <c r="D22" s="1">
        <f t="shared" si="1"/>
        <v>4.3478260869565216E-2</v>
      </c>
    </row>
    <row r="23" spans="1:4" x14ac:dyDescent="0.3">
      <c r="A23" s="1" t="s">
        <v>10</v>
      </c>
      <c r="B23" s="1">
        <v>27</v>
      </c>
      <c r="C23" s="1" t="str">
        <f t="shared" si="0"/>
        <v>&lt;30</v>
      </c>
      <c r="D23" s="1">
        <f t="shared" si="1"/>
        <v>3.7037037037037035E-2</v>
      </c>
    </row>
    <row r="24" spans="1:4" x14ac:dyDescent="0.3">
      <c r="A24" s="1" t="s">
        <v>16</v>
      </c>
      <c r="B24" s="1">
        <v>52</v>
      </c>
      <c r="C24" s="1" t="str">
        <f t="shared" si="0"/>
        <v>40+</v>
      </c>
      <c r="D24" s="1">
        <f t="shared" si="1"/>
        <v>1.9230769230769232E-2</v>
      </c>
    </row>
    <row r="25" spans="1:4" x14ac:dyDescent="0.3">
      <c r="A25" s="1" t="s">
        <v>16</v>
      </c>
      <c r="B25" s="1">
        <v>44</v>
      </c>
      <c r="C25" s="1" t="str">
        <f t="shared" si="0"/>
        <v>40+</v>
      </c>
      <c r="D25" s="1">
        <f t="shared" si="1"/>
        <v>2.2727272727272728E-2</v>
      </c>
    </row>
    <row r="26" spans="1:4" x14ac:dyDescent="0.3">
      <c r="A26" s="1" t="s">
        <v>10</v>
      </c>
      <c r="B26" s="1">
        <v>42</v>
      </c>
      <c r="C26" s="1" t="str">
        <f t="shared" si="0"/>
        <v>40+</v>
      </c>
      <c r="D26" s="1">
        <f t="shared" si="1"/>
        <v>2.3809523809523808E-2</v>
      </c>
    </row>
    <row r="27" spans="1:4" x14ac:dyDescent="0.3">
      <c r="A27" s="1" t="s">
        <v>16</v>
      </c>
      <c r="B27" s="1">
        <v>51</v>
      </c>
      <c r="C27" s="1" t="str">
        <f t="shared" si="0"/>
        <v>40+</v>
      </c>
      <c r="D27" s="1">
        <f t="shared" si="1"/>
        <v>1.9607843137254902E-2</v>
      </c>
    </row>
    <row r="28" spans="1:4" x14ac:dyDescent="0.3">
      <c r="A28" s="1" t="s">
        <v>10</v>
      </c>
      <c r="B28" s="1" t="s">
        <v>287</v>
      </c>
      <c r="C28" s="1" t="str">
        <f t="shared" si="0"/>
        <v>40+</v>
      </c>
      <c r="D28" s="1">
        <f t="shared" si="1"/>
        <v>0</v>
      </c>
    </row>
    <row r="29" spans="1:4" x14ac:dyDescent="0.3">
      <c r="A29" s="1" t="s">
        <v>16</v>
      </c>
      <c r="B29" s="1">
        <v>50</v>
      </c>
      <c r="C29" s="1" t="str">
        <f t="shared" si="0"/>
        <v>40+</v>
      </c>
      <c r="D29" s="1">
        <f t="shared" si="1"/>
        <v>0.02</v>
      </c>
    </row>
    <row r="30" spans="1:4" x14ac:dyDescent="0.3">
      <c r="A30" s="1" t="s">
        <v>10</v>
      </c>
      <c r="B30" s="1">
        <v>65</v>
      </c>
      <c r="C30" s="1" t="str">
        <f t="shared" si="0"/>
        <v>40+</v>
      </c>
      <c r="D30" s="1">
        <f t="shared" si="1"/>
        <v>1.5384615384615385E-2</v>
      </c>
    </row>
    <row r="31" spans="1:4" x14ac:dyDescent="0.3">
      <c r="A31" s="1" t="s">
        <v>16</v>
      </c>
      <c r="B31" s="1">
        <v>29</v>
      </c>
      <c r="C31" s="1" t="str">
        <f t="shared" si="0"/>
        <v>&lt;30</v>
      </c>
      <c r="D31" s="1">
        <f t="shared" si="1"/>
        <v>3.4482758620689655E-2</v>
      </c>
    </row>
    <row r="32" spans="1:4" x14ac:dyDescent="0.3">
      <c r="A32" s="1" t="s">
        <v>10</v>
      </c>
      <c r="B32" s="1">
        <v>66</v>
      </c>
      <c r="C32" s="1" t="str">
        <f t="shared" si="0"/>
        <v>40+</v>
      </c>
      <c r="D32" s="1">
        <f t="shared" si="1"/>
        <v>1.5151515151515152E-2</v>
      </c>
    </row>
    <row r="33" spans="1:4" x14ac:dyDescent="0.3">
      <c r="A33" s="1" t="s">
        <v>16</v>
      </c>
      <c r="B33" s="1">
        <v>23</v>
      </c>
      <c r="C33" s="1" t="str">
        <f t="shared" si="0"/>
        <v>&lt;30</v>
      </c>
      <c r="D33" s="1">
        <f t="shared" si="1"/>
        <v>4.3478260869565216E-2</v>
      </c>
    </row>
    <row r="34" spans="1:4" x14ac:dyDescent="0.3">
      <c r="A34" s="1" t="s">
        <v>10</v>
      </c>
      <c r="B34" s="1">
        <v>32</v>
      </c>
      <c r="C34" s="1" t="str">
        <f t="shared" si="0"/>
        <v>30-40</v>
      </c>
      <c r="D34" s="1">
        <f t="shared" si="1"/>
        <v>3.125E-2</v>
      </c>
    </row>
    <row r="35" spans="1:4" x14ac:dyDescent="0.3">
      <c r="A35" s="1" t="s">
        <v>16</v>
      </c>
      <c r="B35" s="1">
        <v>51</v>
      </c>
      <c r="C35" s="1" t="str">
        <f t="shared" si="0"/>
        <v>40+</v>
      </c>
      <c r="D35" s="1">
        <f t="shared" si="1"/>
        <v>1.9607843137254902E-2</v>
      </c>
    </row>
    <row r="36" spans="1:4" x14ac:dyDescent="0.3">
      <c r="A36" s="1" t="s">
        <v>10</v>
      </c>
      <c r="B36" s="1">
        <v>66</v>
      </c>
      <c r="C36" s="1" t="str">
        <f t="shared" si="0"/>
        <v>40+</v>
      </c>
      <c r="D36" s="1">
        <f t="shared" si="1"/>
        <v>1.5151515151515152E-2</v>
      </c>
    </row>
    <row r="37" spans="1:4" x14ac:dyDescent="0.3">
      <c r="A37" s="1" t="s">
        <v>16</v>
      </c>
      <c r="B37" s="1">
        <v>68</v>
      </c>
      <c r="C37" s="1" t="str">
        <f t="shared" si="0"/>
        <v>40+</v>
      </c>
      <c r="D37" s="1">
        <f t="shared" si="1"/>
        <v>1.4705882352941176E-2</v>
      </c>
    </row>
    <row r="38" spans="1:4" x14ac:dyDescent="0.3">
      <c r="A38" s="1" t="s">
        <v>16</v>
      </c>
      <c r="B38" s="1">
        <v>43</v>
      </c>
      <c r="C38" s="1" t="str">
        <f t="shared" si="0"/>
        <v>40+</v>
      </c>
      <c r="D38" s="1">
        <f t="shared" si="1"/>
        <v>2.3255813953488372E-2</v>
      </c>
    </row>
    <row r="39" spans="1:4" x14ac:dyDescent="0.3">
      <c r="A39" s="1" t="s">
        <v>10</v>
      </c>
      <c r="B39" s="1">
        <v>59</v>
      </c>
      <c r="C39" s="1" t="str">
        <f t="shared" si="0"/>
        <v>40+</v>
      </c>
      <c r="D39" s="1">
        <f t="shared" si="1"/>
        <v>1.6949152542372881E-2</v>
      </c>
    </row>
    <row r="40" spans="1:4" x14ac:dyDescent="0.3">
      <c r="A40" s="1" t="s">
        <v>16</v>
      </c>
      <c r="B40" s="1">
        <v>54</v>
      </c>
      <c r="C40" s="1" t="str">
        <f t="shared" si="0"/>
        <v>40+</v>
      </c>
      <c r="D40" s="1">
        <f t="shared" si="1"/>
        <v>1.8518518518518517E-2</v>
      </c>
    </row>
    <row r="41" spans="1:4" x14ac:dyDescent="0.3">
      <c r="A41" s="1" t="s">
        <v>16</v>
      </c>
      <c r="B41" s="1">
        <v>24</v>
      </c>
      <c r="C41" s="1" t="str">
        <f t="shared" si="0"/>
        <v>&lt;30</v>
      </c>
      <c r="D41" s="1">
        <f t="shared" si="1"/>
        <v>4.1666666666666664E-2</v>
      </c>
    </row>
    <row r="42" spans="1:4" x14ac:dyDescent="0.3">
      <c r="A42" s="1" t="s">
        <v>10</v>
      </c>
      <c r="B42" s="1">
        <v>49</v>
      </c>
      <c r="C42" s="1" t="str">
        <f t="shared" si="0"/>
        <v>40+</v>
      </c>
      <c r="D42" s="1">
        <f t="shared" si="1"/>
        <v>2.0408163265306121E-2</v>
      </c>
    </row>
    <row r="43" spans="1:4" x14ac:dyDescent="0.3">
      <c r="A43" s="1" t="s">
        <v>16</v>
      </c>
      <c r="B43" s="1">
        <v>67</v>
      </c>
      <c r="C43" s="1" t="str">
        <f t="shared" si="0"/>
        <v>40+</v>
      </c>
      <c r="D43" s="1">
        <f t="shared" si="1"/>
        <v>1.4925373134328358E-2</v>
      </c>
    </row>
    <row r="44" spans="1:4" x14ac:dyDescent="0.3">
      <c r="A44" s="1" t="s">
        <v>10</v>
      </c>
      <c r="B44" s="1">
        <v>48</v>
      </c>
      <c r="C44" s="1" t="str">
        <f t="shared" si="0"/>
        <v>40+</v>
      </c>
      <c r="D44" s="1">
        <f t="shared" si="1"/>
        <v>2.0833333333333332E-2</v>
      </c>
    </row>
    <row r="45" spans="1:4" x14ac:dyDescent="0.3">
      <c r="A45" s="1" t="s">
        <v>10</v>
      </c>
      <c r="B45" s="1">
        <v>40</v>
      </c>
      <c r="C45" s="1" t="str">
        <f t="shared" si="0"/>
        <v>30-40</v>
      </c>
      <c r="D45" s="1">
        <f t="shared" si="1"/>
        <v>2.5000000000000001E-2</v>
      </c>
    </row>
    <row r="46" spans="1:4" x14ac:dyDescent="0.3">
      <c r="A46" s="1" t="s">
        <v>10</v>
      </c>
      <c r="B46" s="1">
        <v>41</v>
      </c>
      <c r="C46" s="1" t="str">
        <f t="shared" si="0"/>
        <v>40+</v>
      </c>
      <c r="D46" s="1">
        <f t="shared" si="1"/>
        <v>2.4390243902439025E-2</v>
      </c>
    </row>
    <row r="47" spans="1:4" x14ac:dyDescent="0.3">
      <c r="A47" s="1" t="s">
        <v>16</v>
      </c>
      <c r="B47" s="1">
        <v>46</v>
      </c>
      <c r="C47" s="1" t="str">
        <f t="shared" si="0"/>
        <v>40+</v>
      </c>
      <c r="D47" s="1">
        <f t="shared" si="1"/>
        <v>2.1739130434782608E-2</v>
      </c>
    </row>
    <row r="48" spans="1:4" x14ac:dyDescent="0.3">
      <c r="A48" s="1" t="s">
        <v>10</v>
      </c>
      <c r="B48" s="1">
        <v>19</v>
      </c>
      <c r="C48" s="1" t="str">
        <f t="shared" si="0"/>
        <v>&lt;30</v>
      </c>
      <c r="D48" s="1">
        <f t="shared" si="1"/>
        <v>5.2631578947368418E-2</v>
      </c>
    </row>
    <row r="49" spans="1:4" x14ac:dyDescent="0.3">
      <c r="A49" s="1" t="s">
        <v>10</v>
      </c>
      <c r="B49" s="1">
        <v>43</v>
      </c>
      <c r="C49" s="1" t="str">
        <f t="shared" si="0"/>
        <v>40+</v>
      </c>
      <c r="D49" s="1">
        <f t="shared" si="1"/>
        <v>2.3255813953488372E-2</v>
      </c>
    </row>
    <row r="50" spans="1:4" x14ac:dyDescent="0.3">
      <c r="A50" s="1" t="s">
        <v>16</v>
      </c>
      <c r="B50" s="1">
        <v>18</v>
      </c>
      <c r="C50" s="1" t="str">
        <f t="shared" si="0"/>
        <v>&lt;30</v>
      </c>
      <c r="D50" s="1">
        <f t="shared" si="1"/>
        <v>5.5555555555555552E-2</v>
      </c>
    </row>
    <row r="51" spans="1:4" x14ac:dyDescent="0.3">
      <c r="A51" s="1" t="s">
        <v>10</v>
      </c>
      <c r="B51" s="1">
        <v>22</v>
      </c>
      <c r="C51" s="1" t="str">
        <f t="shared" si="0"/>
        <v>&lt;30</v>
      </c>
      <c r="D51" s="1">
        <f t="shared" si="1"/>
        <v>4.5454545454545456E-2</v>
      </c>
    </row>
    <row r="52" spans="1:4" x14ac:dyDescent="0.3">
      <c r="A52" s="1" t="s">
        <v>10</v>
      </c>
      <c r="B52" s="1">
        <v>61</v>
      </c>
      <c r="C52" s="1" t="str">
        <f t="shared" si="0"/>
        <v>40+</v>
      </c>
      <c r="D52" s="1">
        <f t="shared" si="1"/>
        <v>1.6393442622950821E-2</v>
      </c>
    </row>
    <row r="53" spans="1:4" x14ac:dyDescent="0.3">
      <c r="A53" s="1" t="s">
        <v>10</v>
      </c>
      <c r="B53" s="1">
        <v>41</v>
      </c>
      <c r="C53" s="1" t="str">
        <f t="shared" si="0"/>
        <v>40+</v>
      </c>
      <c r="D53" s="1">
        <f t="shared" si="1"/>
        <v>2.4390243902439025E-2</v>
      </c>
    </row>
    <row r="54" spans="1:4" x14ac:dyDescent="0.3">
      <c r="A54" s="1" t="s">
        <v>10</v>
      </c>
      <c r="B54" s="1" t="s">
        <v>286</v>
      </c>
      <c r="C54" s="1" t="str">
        <f t="shared" si="0"/>
        <v>40+</v>
      </c>
      <c r="D54" s="1">
        <f t="shared" si="1"/>
        <v>0</v>
      </c>
    </row>
    <row r="55" spans="1:4" x14ac:dyDescent="0.3">
      <c r="A55" s="1" t="s">
        <v>10</v>
      </c>
      <c r="B55" s="1">
        <v>43</v>
      </c>
      <c r="C55" s="1" t="str">
        <f t="shared" si="0"/>
        <v>40+</v>
      </c>
      <c r="D55" s="1">
        <f t="shared" si="1"/>
        <v>2.3255813953488372E-2</v>
      </c>
    </row>
    <row r="56" spans="1:4" x14ac:dyDescent="0.3">
      <c r="A56" s="1" t="s">
        <v>10</v>
      </c>
      <c r="B56" s="1">
        <v>45</v>
      </c>
      <c r="C56" s="1" t="str">
        <f t="shared" si="0"/>
        <v>40+</v>
      </c>
      <c r="D56" s="1">
        <f t="shared" si="1"/>
        <v>2.2222222222222223E-2</v>
      </c>
    </row>
    <row r="57" spans="1:4" x14ac:dyDescent="0.3">
      <c r="A57" s="1" t="s">
        <v>10</v>
      </c>
      <c r="B57" s="1">
        <v>29</v>
      </c>
      <c r="C57" s="1" t="str">
        <f t="shared" si="0"/>
        <v>&lt;30</v>
      </c>
      <c r="D57" s="1">
        <f t="shared" si="1"/>
        <v>3.4482758620689655E-2</v>
      </c>
    </row>
    <row r="58" spans="1:4" x14ac:dyDescent="0.3">
      <c r="A58" s="1" t="s">
        <v>16</v>
      </c>
      <c r="B58" s="1">
        <v>43</v>
      </c>
      <c r="C58" s="1" t="str">
        <f t="shared" si="0"/>
        <v>40+</v>
      </c>
      <c r="D58" s="1">
        <f t="shared" si="1"/>
        <v>2.3255813953488372E-2</v>
      </c>
    </row>
    <row r="59" spans="1:4" x14ac:dyDescent="0.3">
      <c r="A59" s="1" t="s">
        <v>10</v>
      </c>
      <c r="B59" s="1">
        <v>19</v>
      </c>
      <c r="C59" s="1" t="str">
        <f t="shared" si="0"/>
        <v>&lt;30</v>
      </c>
      <c r="D59" s="1">
        <f t="shared" si="1"/>
        <v>5.2631578947368418E-2</v>
      </c>
    </row>
    <row r="60" spans="1:4" x14ac:dyDescent="0.3">
      <c r="A60" s="1" t="s">
        <v>10</v>
      </c>
      <c r="B60" s="1">
        <v>67</v>
      </c>
      <c r="C60" s="1" t="str">
        <f t="shared" si="0"/>
        <v>40+</v>
      </c>
      <c r="D60" s="1">
        <f t="shared" si="1"/>
        <v>1.4925373134328358E-2</v>
      </c>
    </row>
    <row r="61" spans="1:4" x14ac:dyDescent="0.3">
      <c r="A61" s="1" t="s">
        <v>10</v>
      </c>
      <c r="B61" s="1">
        <v>36</v>
      </c>
      <c r="C61" s="1" t="str">
        <f t="shared" si="0"/>
        <v>30-40</v>
      </c>
      <c r="D61" s="1">
        <f t="shared" si="1"/>
        <v>2.7777777777777776E-2</v>
      </c>
    </row>
    <row r="62" spans="1:4" x14ac:dyDescent="0.3">
      <c r="A62" s="1" t="s">
        <v>16</v>
      </c>
      <c r="B62" s="1">
        <v>64</v>
      </c>
      <c r="C62" s="1" t="str">
        <f t="shared" si="0"/>
        <v>40+</v>
      </c>
      <c r="D62" s="1">
        <f t="shared" si="1"/>
        <v>1.5625E-2</v>
      </c>
    </row>
    <row r="63" spans="1:4" x14ac:dyDescent="0.3">
      <c r="A63" s="1" t="s">
        <v>10</v>
      </c>
      <c r="B63" s="1">
        <v>33</v>
      </c>
      <c r="C63" s="1" t="str">
        <f t="shared" si="0"/>
        <v>30-40</v>
      </c>
      <c r="D63" s="1">
        <f t="shared" si="1"/>
        <v>3.0303030303030304E-2</v>
      </c>
    </row>
    <row r="64" spans="1:4" x14ac:dyDescent="0.3">
      <c r="A64" s="1" t="s">
        <v>10</v>
      </c>
      <c r="B64" s="1">
        <v>33</v>
      </c>
      <c r="C64" s="1" t="str">
        <f t="shared" si="0"/>
        <v>30-40</v>
      </c>
      <c r="D64" s="1">
        <f t="shared" si="1"/>
        <v>3.0303030303030304E-2</v>
      </c>
    </row>
    <row r="65" spans="1:4" x14ac:dyDescent="0.3">
      <c r="A65" s="1" t="s">
        <v>16</v>
      </c>
      <c r="B65" s="1">
        <v>66</v>
      </c>
      <c r="C65" s="1" t="str">
        <f t="shared" si="0"/>
        <v>40+</v>
      </c>
      <c r="D65" s="1">
        <f t="shared" si="1"/>
        <v>1.5151515151515152E-2</v>
      </c>
    </row>
    <row r="66" spans="1:4" x14ac:dyDescent="0.3">
      <c r="A66" s="1" t="s">
        <v>10</v>
      </c>
      <c r="B66" s="1">
        <v>29</v>
      </c>
      <c r="C66" s="1" t="str">
        <f t="shared" si="0"/>
        <v>&lt;30</v>
      </c>
      <c r="D66" s="1">
        <f t="shared" si="1"/>
        <v>3.4482758620689655E-2</v>
      </c>
    </row>
    <row r="67" spans="1:4" x14ac:dyDescent="0.3">
      <c r="A67" s="1" t="s">
        <v>16</v>
      </c>
      <c r="B67" s="1">
        <v>22</v>
      </c>
      <c r="C67" s="1" t="str">
        <f t="shared" ref="C67:C130" si="2">IF(AND(NOT(ISBLANK(B67)),B67&lt;30),"&lt;30",IF(AND(B67&gt;=30,B67&lt;=40),"30-40","40+"))</f>
        <v>&lt;30</v>
      </c>
      <c r="D67" s="1">
        <f t="shared" ref="D67:D130" si="3">IFERROR(1/B67,0)</f>
        <v>4.5454545454545456E-2</v>
      </c>
    </row>
    <row r="68" spans="1:4" x14ac:dyDescent="0.3">
      <c r="A68" s="1" t="s">
        <v>10</v>
      </c>
      <c r="B68" s="1">
        <v>63</v>
      </c>
      <c r="C68" s="1" t="str">
        <f t="shared" si="2"/>
        <v>40+</v>
      </c>
      <c r="D68" s="1">
        <f t="shared" si="3"/>
        <v>1.5873015873015872E-2</v>
      </c>
    </row>
    <row r="69" spans="1:4" x14ac:dyDescent="0.3">
      <c r="A69" s="1" t="s">
        <v>10</v>
      </c>
      <c r="B69" s="1">
        <v>24</v>
      </c>
      <c r="C69" s="1" t="str">
        <f t="shared" si="2"/>
        <v>&lt;30</v>
      </c>
      <c r="D69" s="1">
        <f t="shared" si="3"/>
        <v>4.1666666666666664E-2</v>
      </c>
    </row>
    <row r="70" spans="1:4" x14ac:dyDescent="0.3">
      <c r="A70" s="1" t="s">
        <v>10</v>
      </c>
      <c r="B70" s="1">
        <v>24</v>
      </c>
      <c r="C70" s="1" t="str">
        <f t="shared" si="2"/>
        <v>&lt;30</v>
      </c>
      <c r="D70" s="1">
        <f t="shared" si="3"/>
        <v>4.1666666666666664E-2</v>
      </c>
    </row>
    <row r="71" spans="1:4" x14ac:dyDescent="0.3">
      <c r="A71" s="1" t="s">
        <v>10</v>
      </c>
      <c r="B71" s="1">
        <v>44</v>
      </c>
      <c r="C71" s="1" t="str">
        <f t="shared" si="2"/>
        <v>40+</v>
      </c>
      <c r="D71" s="1">
        <f t="shared" si="3"/>
        <v>2.2727272727272728E-2</v>
      </c>
    </row>
    <row r="72" spans="1:4" x14ac:dyDescent="0.3">
      <c r="A72" s="1" t="s">
        <v>16</v>
      </c>
      <c r="B72" s="1">
        <v>34</v>
      </c>
      <c r="C72" s="1" t="str">
        <f t="shared" si="2"/>
        <v>30-40</v>
      </c>
      <c r="D72" s="1">
        <f t="shared" si="3"/>
        <v>2.9411764705882353E-2</v>
      </c>
    </row>
    <row r="73" spans="1:4" x14ac:dyDescent="0.3">
      <c r="A73" s="1" t="s">
        <v>10</v>
      </c>
      <c r="B73" s="1">
        <v>47</v>
      </c>
      <c r="C73" s="1" t="str">
        <f t="shared" si="2"/>
        <v>40+</v>
      </c>
      <c r="D73" s="1">
        <f t="shared" si="3"/>
        <v>2.1276595744680851E-2</v>
      </c>
    </row>
    <row r="74" spans="1:4" x14ac:dyDescent="0.3">
      <c r="A74" s="1" t="s">
        <v>16</v>
      </c>
      <c r="B74" s="1">
        <v>38</v>
      </c>
      <c r="C74" s="1" t="str">
        <f t="shared" si="2"/>
        <v>30-40</v>
      </c>
      <c r="D74" s="1">
        <f t="shared" si="3"/>
        <v>2.6315789473684209E-2</v>
      </c>
    </row>
    <row r="75" spans="1:4" x14ac:dyDescent="0.3">
      <c r="A75" s="1" t="s">
        <v>10</v>
      </c>
      <c r="B75" s="1">
        <v>57</v>
      </c>
      <c r="C75" s="1" t="str">
        <f t="shared" si="2"/>
        <v>40+</v>
      </c>
      <c r="D75" s="1">
        <f t="shared" si="3"/>
        <v>1.7543859649122806E-2</v>
      </c>
    </row>
    <row r="76" spans="1:4" x14ac:dyDescent="0.3">
      <c r="A76" s="1" t="s">
        <v>16</v>
      </c>
      <c r="B76" s="1">
        <v>67</v>
      </c>
      <c r="C76" s="1" t="str">
        <f t="shared" si="2"/>
        <v>40+</v>
      </c>
      <c r="D76" s="1">
        <f t="shared" si="3"/>
        <v>1.4925373134328358E-2</v>
      </c>
    </row>
    <row r="77" spans="1:4" x14ac:dyDescent="0.3">
      <c r="A77" s="1" t="s">
        <v>16</v>
      </c>
      <c r="B77" s="1">
        <v>41</v>
      </c>
      <c r="C77" s="1" t="str">
        <f t="shared" si="2"/>
        <v>40+</v>
      </c>
      <c r="D77" s="1">
        <f t="shared" si="3"/>
        <v>2.4390243902439025E-2</v>
      </c>
    </row>
    <row r="78" spans="1:4" x14ac:dyDescent="0.3">
      <c r="A78" s="1" t="s">
        <v>10</v>
      </c>
      <c r="B78" s="1">
        <v>40</v>
      </c>
      <c r="C78" s="1" t="str">
        <f t="shared" si="2"/>
        <v>30-40</v>
      </c>
      <c r="D78" s="1">
        <f t="shared" si="3"/>
        <v>2.5000000000000001E-2</v>
      </c>
    </row>
    <row r="79" spans="1:4" x14ac:dyDescent="0.3">
      <c r="A79" s="1" t="s">
        <v>10</v>
      </c>
      <c r="B79" s="1">
        <v>69</v>
      </c>
      <c r="C79" s="1" t="str">
        <f t="shared" si="2"/>
        <v>40+</v>
      </c>
      <c r="D79" s="1">
        <f t="shared" si="3"/>
        <v>1.4492753623188406E-2</v>
      </c>
    </row>
    <row r="80" spans="1:4" x14ac:dyDescent="0.3">
      <c r="A80" s="1" t="s">
        <v>10</v>
      </c>
      <c r="B80" s="1">
        <v>47</v>
      </c>
      <c r="C80" s="1" t="str">
        <f t="shared" si="2"/>
        <v>40+</v>
      </c>
      <c r="D80" s="1">
        <f t="shared" si="3"/>
        <v>2.1276595744680851E-2</v>
      </c>
    </row>
    <row r="81" spans="1:4" x14ac:dyDescent="0.3">
      <c r="A81" s="1" t="s">
        <v>10</v>
      </c>
      <c r="B81" s="1">
        <v>53</v>
      </c>
      <c r="C81" s="1" t="str">
        <f t="shared" si="2"/>
        <v>40+</v>
      </c>
      <c r="D81" s="1">
        <f t="shared" si="3"/>
        <v>1.8867924528301886E-2</v>
      </c>
    </row>
    <row r="82" spans="1:4" x14ac:dyDescent="0.3">
      <c r="A82" s="1" t="s">
        <v>16</v>
      </c>
      <c r="B82" s="1">
        <v>40</v>
      </c>
      <c r="C82" s="1" t="str">
        <f t="shared" si="2"/>
        <v>30-40</v>
      </c>
      <c r="D82" s="1">
        <f t="shared" si="3"/>
        <v>2.5000000000000001E-2</v>
      </c>
    </row>
    <row r="83" spans="1:4" x14ac:dyDescent="0.3">
      <c r="A83" s="1" t="s">
        <v>16</v>
      </c>
      <c r="B83" s="1">
        <v>60</v>
      </c>
      <c r="C83" s="1" t="str">
        <f t="shared" si="2"/>
        <v>40+</v>
      </c>
      <c r="D83" s="1">
        <f t="shared" si="3"/>
        <v>1.6666666666666666E-2</v>
      </c>
    </row>
    <row r="84" spans="1:4" x14ac:dyDescent="0.3">
      <c r="A84" s="1" t="s">
        <v>16</v>
      </c>
      <c r="B84" s="1">
        <v>30</v>
      </c>
      <c r="C84" s="1" t="str">
        <f t="shared" si="2"/>
        <v>30-40</v>
      </c>
      <c r="D84" s="1">
        <f t="shared" si="3"/>
        <v>3.3333333333333333E-2</v>
      </c>
    </row>
    <row r="85" spans="1:4" x14ac:dyDescent="0.3">
      <c r="A85" s="1" t="s">
        <v>10</v>
      </c>
      <c r="B85" s="1">
        <v>66</v>
      </c>
      <c r="C85" s="1" t="str">
        <f t="shared" si="2"/>
        <v>40+</v>
      </c>
      <c r="D85" s="1">
        <f t="shared" si="3"/>
        <v>1.5151515151515152E-2</v>
      </c>
    </row>
    <row r="86" spans="1:4" x14ac:dyDescent="0.3">
      <c r="A86" s="1" t="s">
        <v>16</v>
      </c>
      <c r="B86" s="1">
        <v>22</v>
      </c>
      <c r="C86" s="1" t="str">
        <f t="shared" si="2"/>
        <v>&lt;30</v>
      </c>
      <c r="D86" s="1">
        <f t="shared" si="3"/>
        <v>4.5454545454545456E-2</v>
      </c>
    </row>
    <row r="87" spans="1:4" x14ac:dyDescent="0.3">
      <c r="A87" s="1" t="s">
        <v>16</v>
      </c>
      <c r="B87" s="1">
        <v>53</v>
      </c>
      <c r="C87" s="1" t="str">
        <f t="shared" si="2"/>
        <v>40+</v>
      </c>
      <c r="D87" s="1">
        <f t="shared" si="3"/>
        <v>1.8867924528301886E-2</v>
      </c>
    </row>
    <row r="88" spans="1:4" x14ac:dyDescent="0.3">
      <c r="A88" s="1" t="s">
        <v>10</v>
      </c>
      <c r="B88" s="1">
        <v>52</v>
      </c>
      <c r="C88" s="1" t="str">
        <f t="shared" si="2"/>
        <v>40+</v>
      </c>
      <c r="D88" s="1">
        <f t="shared" si="3"/>
        <v>1.9230769230769232E-2</v>
      </c>
    </row>
    <row r="89" spans="1:4" x14ac:dyDescent="0.3">
      <c r="A89" s="1" t="s">
        <v>16</v>
      </c>
      <c r="B89" s="1">
        <v>26</v>
      </c>
      <c r="C89" s="1" t="str">
        <f t="shared" si="2"/>
        <v>&lt;30</v>
      </c>
      <c r="D89" s="1">
        <f t="shared" si="3"/>
        <v>3.8461538461538464E-2</v>
      </c>
    </row>
    <row r="90" spans="1:4" x14ac:dyDescent="0.3">
      <c r="A90" s="1" t="s">
        <v>16</v>
      </c>
      <c r="B90" s="1">
        <v>66</v>
      </c>
      <c r="C90" s="1" t="str">
        <f t="shared" si="2"/>
        <v>40+</v>
      </c>
      <c r="D90" s="1">
        <f t="shared" si="3"/>
        <v>1.5151515151515152E-2</v>
      </c>
    </row>
    <row r="91" spans="1:4" x14ac:dyDescent="0.3">
      <c r="A91" s="1" t="s">
        <v>16</v>
      </c>
      <c r="B91" s="1">
        <v>65</v>
      </c>
      <c r="C91" s="1" t="str">
        <f t="shared" si="2"/>
        <v>40+</v>
      </c>
      <c r="D91" s="1">
        <f t="shared" si="3"/>
        <v>1.5384615384615385E-2</v>
      </c>
    </row>
    <row r="92" spans="1:4" x14ac:dyDescent="0.3">
      <c r="A92" s="1" t="s">
        <v>10</v>
      </c>
      <c r="B92" s="1">
        <v>43</v>
      </c>
      <c r="C92" s="1" t="str">
        <f t="shared" si="2"/>
        <v>40+</v>
      </c>
      <c r="D92" s="1">
        <f t="shared" si="3"/>
        <v>2.3255813953488372E-2</v>
      </c>
    </row>
    <row r="93" spans="1:4" x14ac:dyDescent="0.3">
      <c r="A93" s="1" t="s">
        <v>10</v>
      </c>
      <c r="B93" s="1">
        <v>59</v>
      </c>
      <c r="C93" s="1" t="str">
        <f t="shared" si="2"/>
        <v>40+</v>
      </c>
      <c r="D93" s="1">
        <f t="shared" si="3"/>
        <v>1.6949152542372881E-2</v>
      </c>
    </row>
    <row r="94" spans="1:4" x14ac:dyDescent="0.3">
      <c r="A94" s="1" t="s">
        <v>10</v>
      </c>
      <c r="B94" s="1">
        <v>30</v>
      </c>
      <c r="C94" s="1" t="str">
        <f t="shared" si="2"/>
        <v>30-40</v>
      </c>
      <c r="D94" s="1">
        <f t="shared" si="3"/>
        <v>3.3333333333333333E-2</v>
      </c>
    </row>
    <row r="95" spans="1:4" x14ac:dyDescent="0.3">
      <c r="A95" s="1" t="s">
        <v>10</v>
      </c>
      <c r="B95" s="1">
        <v>25</v>
      </c>
      <c r="C95" s="1" t="str">
        <f t="shared" si="2"/>
        <v>&lt;30</v>
      </c>
      <c r="D95" s="1">
        <f t="shared" si="3"/>
        <v>0.04</v>
      </c>
    </row>
    <row r="96" spans="1:4" x14ac:dyDescent="0.3">
      <c r="A96" s="1" t="s">
        <v>10</v>
      </c>
      <c r="B96" s="1">
        <v>29</v>
      </c>
      <c r="C96" s="1" t="str">
        <f t="shared" si="2"/>
        <v>&lt;30</v>
      </c>
      <c r="D96" s="1">
        <f t="shared" si="3"/>
        <v>3.4482758620689655E-2</v>
      </c>
    </row>
    <row r="97" spans="1:4" x14ac:dyDescent="0.3">
      <c r="A97" s="1" t="s">
        <v>10</v>
      </c>
      <c r="B97" s="1">
        <v>19</v>
      </c>
      <c r="C97" s="1" t="str">
        <f t="shared" si="2"/>
        <v>&lt;30</v>
      </c>
      <c r="D97" s="1">
        <f t="shared" si="3"/>
        <v>5.2631578947368418E-2</v>
      </c>
    </row>
    <row r="98" spans="1:4" x14ac:dyDescent="0.3">
      <c r="A98" s="1" t="s">
        <v>16</v>
      </c>
      <c r="B98" s="1">
        <v>62</v>
      </c>
      <c r="C98" s="1" t="str">
        <f t="shared" si="2"/>
        <v>40+</v>
      </c>
      <c r="D98" s="1">
        <f t="shared" si="3"/>
        <v>1.6129032258064516E-2</v>
      </c>
    </row>
    <row r="99" spans="1:4" x14ac:dyDescent="0.3">
      <c r="A99" s="1" t="s">
        <v>16</v>
      </c>
      <c r="B99" s="1">
        <v>39</v>
      </c>
      <c r="C99" s="1" t="str">
        <f t="shared" si="2"/>
        <v>30-40</v>
      </c>
      <c r="D99" s="1">
        <f t="shared" si="3"/>
        <v>2.564102564102564E-2</v>
      </c>
    </row>
    <row r="100" spans="1:4" x14ac:dyDescent="0.3">
      <c r="A100" s="1" t="s">
        <v>10</v>
      </c>
      <c r="B100" s="1">
        <v>33</v>
      </c>
      <c r="C100" s="1" t="str">
        <f t="shared" si="2"/>
        <v>30-40</v>
      </c>
      <c r="D100" s="1">
        <f t="shared" si="3"/>
        <v>3.0303030303030304E-2</v>
      </c>
    </row>
    <row r="101" spans="1:4" x14ac:dyDescent="0.3">
      <c r="A101" s="1" t="s">
        <v>10</v>
      </c>
      <c r="B101" s="1">
        <v>26</v>
      </c>
      <c r="C101" s="1" t="str">
        <f t="shared" si="2"/>
        <v>&lt;30</v>
      </c>
      <c r="D101" s="1">
        <f t="shared" si="3"/>
        <v>3.8461538461538464E-2</v>
      </c>
    </row>
    <row r="102" spans="1:4" x14ac:dyDescent="0.3">
      <c r="A102" s="1" t="s">
        <v>16</v>
      </c>
      <c r="B102" s="1">
        <v>43</v>
      </c>
      <c r="C102" s="1" t="str">
        <f t="shared" si="2"/>
        <v>40+</v>
      </c>
      <c r="D102" s="1">
        <f t="shared" si="3"/>
        <v>2.3255813953488372E-2</v>
      </c>
    </row>
    <row r="103" spans="1:4" x14ac:dyDescent="0.3">
      <c r="A103" s="1" t="s">
        <v>10</v>
      </c>
      <c r="B103" s="1">
        <v>40</v>
      </c>
      <c r="C103" s="1" t="str">
        <f t="shared" si="2"/>
        <v>30-40</v>
      </c>
      <c r="D103" s="1">
        <f t="shared" si="3"/>
        <v>2.5000000000000001E-2</v>
      </c>
    </row>
    <row r="104" spans="1:4" x14ac:dyDescent="0.3">
      <c r="A104" s="1" t="s">
        <v>16</v>
      </c>
      <c r="B104" s="1">
        <v>55</v>
      </c>
      <c r="C104" s="1" t="str">
        <f t="shared" si="2"/>
        <v>40+</v>
      </c>
      <c r="D104" s="1">
        <f t="shared" si="3"/>
        <v>1.8181818181818181E-2</v>
      </c>
    </row>
    <row r="105" spans="1:4" x14ac:dyDescent="0.3">
      <c r="A105" s="1" t="s">
        <v>10</v>
      </c>
      <c r="B105" s="1">
        <v>24</v>
      </c>
      <c r="C105" s="1" t="str">
        <f t="shared" si="2"/>
        <v>&lt;30</v>
      </c>
      <c r="D105" s="1">
        <f t="shared" si="3"/>
        <v>4.1666666666666664E-2</v>
      </c>
    </row>
    <row r="106" spans="1:4" x14ac:dyDescent="0.3">
      <c r="A106" s="1" t="s">
        <v>16</v>
      </c>
      <c r="B106" s="1">
        <v>24</v>
      </c>
      <c r="C106" s="1" t="str">
        <f t="shared" si="2"/>
        <v>&lt;30</v>
      </c>
      <c r="D106" s="1">
        <f t="shared" si="3"/>
        <v>4.1666666666666664E-2</v>
      </c>
    </row>
    <row r="107" spans="1:4" x14ac:dyDescent="0.3">
      <c r="A107" s="1" t="s">
        <v>10</v>
      </c>
      <c r="B107" s="1">
        <v>30</v>
      </c>
      <c r="C107" s="1" t="str">
        <f t="shared" si="2"/>
        <v>30-40</v>
      </c>
      <c r="D107" s="1">
        <f t="shared" si="3"/>
        <v>3.3333333333333333E-2</v>
      </c>
    </row>
    <row r="108" spans="1:4" x14ac:dyDescent="0.3">
      <c r="A108" s="1" t="s">
        <v>16</v>
      </c>
      <c r="B108" s="1">
        <v>34</v>
      </c>
      <c r="C108" s="1" t="str">
        <f t="shared" si="2"/>
        <v>30-40</v>
      </c>
      <c r="D108" s="1">
        <f t="shared" si="3"/>
        <v>2.9411764705882353E-2</v>
      </c>
    </row>
    <row r="109" spans="1:4" x14ac:dyDescent="0.3">
      <c r="A109" s="1" t="s">
        <v>10</v>
      </c>
      <c r="B109" s="1">
        <v>64</v>
      </c>
      <c r="C109" s="1" t="str">
        <f t="shared" si="2"/>
        <v>40+</v>
      </c>
      <c r="D109" s="1">
        <f t="shared" si="3"/>
        <v>1.5625E-2</v>
      </c>
    </row>
    <row r="110" spans="1:4" x14ac:dyDescent="0.3">
      <c r="A110" s="1" t="s">
        <v>10</v>
      </c>
      <c r="B110" s="1">
        <v>57</v>
      </c>
      <c r="C110" s="1" t="str">
        <f t="shared" si="2"/>
        <v>40+</v>
      </c>
      <c r="D110" s="1">
        <f t="shared" si="3"/>
        <v>1.7543859649122806E-2</v>
      </c>
    </row>
    <row r="111" spans="1:4" x14ac:dyDescent="0.3">
      <c r="A111" s="1" t="s">
        <v>16</v>
      </c>
      <c r="B111" s="1">
        <v>18</v>
      </c>
      <c r="C111" s="1" t="str">
        <f t="shared" si="2"/>
        <v>&lt;30</v>
      </c>
      <c r="D111" s="1">
        <f t="shared" si="3"/>
        <v>5.5555555555555552E-2</v>
      </c>
    </row>
    <row r="112" spans="1:4" x14ac:dyDescent="0.3">
      <c r="A112" s="1" t="s">
        <v>10</v>
      </c>
      <c r="B112" s="1">
        <v>26</v>
      </c>
      <c r="C112" s="1" t="str">
        <f t="shared" si="2"/>
        <v>&lt;30</v>
      </c>
      <c r="D112" s="1">
        <f t="shared" si="3"/>
        <v>3.8461538461538464E-2</v>
      </c>
    </row>
    <row r="113" spans="1:4" x14ac:dyDescent="0.3">
      <c r="A113" s="1" t="s">
        <v>10</v>
      </c>
      <c r="B113" s="1">
        <v>19</v>
      </c>
      <c r="C113" s="1" t="str">
        <f t="shared" si="2"/>
        <v>&lt;30</v>
      </c>
      <c r="D113" s="1">
        <f t="shared" si="3"/>
        <v>5.2631578947368418E-2</v>
      </c>
    </row>
    <row r="114" spans="1:4" x14ac:dyDescent="0.3">
      <c r="A114" s="1" t="s">
        <v>10</v>
      </c>
      <c r="B114" s="1">
        <v>22</v>
      </c>
      <c r="C114" s="1" t="str">
        <f t="shared" si="2"/>
        <v>&lt;30</v>
      </c>
      <c r="D114" s="1">
        <f t="shared" si="3"/>
        <v>4.5454545454545456E-2</v>
      </c>
    </row>
    <row r="115" spans="1:4" x14ac:dyDescent="0.3">
      <c r="A115" s="1" t="s">
        <v>16</v>
      </c>
      <c r="B115" s="1">
        <v>48</v>
      </c>
      <c r="C115" s="1" t="str">
        <f t="shared" si="2"/>
        <v>40+</v>
      </c>
      <c r="D115" s="1">
        <f t="shared" si="3"/>
        <v>2.0833333333333332E-2</v>
      </c>
    </row>
    <row r="116" spans="1:4" x14ac:dyDescent="0.3">
      <c r="A116" s="1" t="s">
        <v>10</v>
      </c>
      <c r="B116" s="1">
        <v>56</v>
      </c>
      <c r="C116" s="1" t="str">
        <f t="shared" si="2"/>
        <v>40+</v>
      </c>
      <c r="D116" s="1">
        <f t="shared" si="3"/>
        <v>1.7857142857142856E-2</v>
      </c>
    </row>
    <row r="117" spans="1:4" x14ac:dyDescent="0.3">
      <c r="A117" s="1" t="s">
        <v>16</v>
      </c>
      <c r="B117" s="1">
        <v>35</v>
      </c>
      <c r="C117" s="1" t="str">
        <f t="shared" si="2"/>
        <v>30-40</v>
      </c>
      <c r="D117" s="1">
        <f t="shared" si="3"/>
        <v>2.8571428571428571E-2</v>
      </c>
    </row>
    <row r="118" spans="1:4" x14ac:dyDescent="0.3">
      <c r="A118" s="1" t="s">
        <v>10</v>
      </c>
      <c r="B118" s="1">
        <v>60</v>
      </c>
      <c r="C118" s="1" t="str">
        <f t="shared" si="2"/>
        <v>40+</v>
      </c>
      <c r="D118" s="1">
        <f t="shared" si="3"/>
        <v>1.6666666666666666E-2</v>
      </c>
    </row>
    <row r="119" spans="1:4" x14ac:dyDescent="0.3">
      <c r="A119" s="1" t="s">
        <v>10</v>
      </c>
      <c r="B119" s="1">
        <v>32</v>
      </c>
      <c r="C119" s="1" t="str">
        <f t="shared" si="2"/>
        <v>30-40</v>
      </c>
      <c r="D119" s="1">
        <f t="shared" si="3"/>
        <v>3.125E-2</v>
      </c>
    </row>
    <row r="120" spans="1:4" x14ac:dyDescent="0.3">
      <c r="A120" s="1" t="s">
        <v>16</v>
      </c>
      <c r="B120" s="1">
        <v>27</v>
      </c>
      <c r="C120" s="1" t="str">
        <f t="shared" si="2"/>
        <v>&lt;30</v>
      </c>
      <c r="D120" s="1">
        <f t="shared" si="3"/>
        <v>3.7037037037037035E-2</v>
      </c>
    </row>
    <row r="121" spans="1:4" x14ac:dyDescent="0.3">
      <c r="A121" s="1" t="s">
        <v>10</v>
      </c>
      <c r="B121" s="1">
        <v>56</v>
      </c>
      <c r="C121" s="1" t="str">
        <f t="shared" si="2"/>
        <v>40+</v>
      </c>
      <c r="D121" s="1">
        <f t="shared" si="3"/>
        <v>1.7857142857142856E-2</v>
      </c>
    </row>
    <row r="122" spans="1:4" x14ac:dyDescent="0.3">
      <c r="A122" s="1" t="s">
        <v>16</v>
      </c>
      <c r="B122" s="1">
        <v>35</v>
      </c>
      <c r="C122" s="1" t="str">
        <f t="shared" si="2"/>
        <v>30-40</v>
      </c>
      <c r="D122" s="1">
        <f t="shared" si="3"/>
        <v>2.8571428571428571E-2</v>
      </c>
    </row>
    <row r="123" spans="1:4" x14ac:dyDescent="0.3">
      <c r="A123" s="1" t="s">
        <v>10</v>
      </c>
      <c r="B123" s="1">
        <v>68</v>
      </c>
      <c r="C123" s="1" t="str">
        <f t="shared" si="2"/>
        <v>40+</v>
      </c>
      <c r="D123" s="1">
        <f t="shared" si="3"/>
        <v>1.4705882352941176E-2</v>
      </c>
    </row>
    <row r="124" spans="1:4" x14ac:dyDescent="0.3">
      <c r="A124" s="1" t="s">
        <v>10</v>
      </c>
      <c r="B124" s="1">
        <v>64</v>
      </c>
      <c r="C124" s="1" t="str">
        <f t="shared" si="2"/>
        <v>40+</v>
      </c>
      <c r="D124" s="1">
        <f t="shared" si="3"/>
        <v>1.5625E-2</v>
      </c>
    </row>
    <row r="125" spans="1:4" x14ac:dyDescent="0.3">
      <c r="A125" s="1" t="s">
        <v>10</v>
      </c>
      <c r="B125" s="1">
        <v>60</v>
      </c>
      <c r="C125" s="1" t="str">
        <f t="shared" si="2"/>
        <v>40+</v>
      </c>
      <c r="D125" s="1">
        <f t="shared" si="3"/>
        <v>1.6666666666666666E-2</v>
      </c>
    </row>
    <row r="126" spans="1:4" x14ac:dyDescent="0.3">
      <c r="A126" s="1" t="s">
        <v>16</v>
      </c>
      <c r="B126" s="1">
        <v>64</v>
      </c>
      <c r="C126" s="1" t="str">
        <f t="shared" si="2"/>
        <v>40+</v>
      </c>
      <c r="D126" s="1">
        <f t="shared" si="3"/>
        <v>1.5625E-2</v>
      </c>
    </row>
    <row r="127" spans="1:4" x14ac:dyDescent="0.3">
      <c r="A127" s="1" t="s">
        <v>10</v>
      </c>
      <c r="B127" s="1">
        <v>41</v>
      </c>
      <c r="C127" s="1" t="str">
        <f t="shared" si="2"/>
        <v>40+</v>
      </c>
      <c r="D127" s="1">
        <f t="shared" si="3"/>
        <v>2.4390243902439025E-2</v>
      </c>
    </row>
    <row r="128" spans="1:4" x14ac:dyDescent="0.3">
      <c r="A128" s="1" t="s">
        <v>16</v>
      </c>
      <c r="B128" s="1">
        <v>30</v>
      </c>
      <c r="C128" s="1" t="str">
        <f t="shared" si="2"/>
        <v>30-40</v>
      </c>
      <c r="D128" s="1">
        <f t="shared" si="3"/>
        <v>3.3333333333333333E-2</v>
      </c>
    </row>
    <row r="129" spans="1:4" x14ac:dyDescent="0.3">
      <c r="A129" s="1" t="s">
        <v>16</v>
      </c>
      <c r="B129" s="1">
        <v>40</v>
      </c>
      <c r="C129" s="1" t="str">
        <f t="shared" si="2"/>
        <v>30-40</v>
      </c>
      <c r="D129" s="1">
        <f t="shared" si="3"/>
        <v>2.5000000000000001E-2</v>
      </c>
    </row>
    <row r="130" spans="1:4" x14ac:dyDescent="0.3">
      <c r="A130" s="1" t="s">
        <v>10</v>
      </c>
      <c r="B130" s="1">
        <v>29</v>
      </c>
      <c r="C130" s="1" t="str">
        <f t="shared" si="2"/>
        <v>&lt;30</v>
      </c>
      <c r="D130" s="1">
        <f t="shared" si="3"/>
        <v>3.4482758620689655E-2</v>
      </c>
    </row>
    <row r="131" spans="1:4" x14ac:dyDescent="0.3">
      <c r="A131" s="1" t="s">
        <v>16</v>
      </c>
      <c r="B131" s="1">
        <v>25</v>
      </c>
      <c r="C131" s="1" t="str">
        <f t="shared" ref="C131:C194" si="4">IF(AND(NOT(ISBLANK(B131)),B131&lt;30),"&lt;30",IF(AND(B131&gt;=30,B131&lt;=40),"30-40","40+"))</f>
        <v>&lt;30</v>
      </c>
      <c r="D131" s="1">
        <f t="shared" ref="D131:D194" si="5">IFERROR(1/B131,0)</f>
        <v>0.04</v>
      </c>
    </row>
    <row r="132" spans="1:4" x14ac:dyDescent="0.3">
      <c r="A132" s="1" t="s">
        <v>10</v>
      </c>
      <c r="B132" s="1">
        <v>60</v>
      </c>
      <c r="C132" s="1" t="str">
        <f t="shared" si="4"/>
        <v>40+</v>
      </c>
      <c r="D132" s="1">
        <f t="shared" si="5"/>
        <v>1.6666666666666666E-2</v>
      </c>
    </row>
    <row r="133" spans="1:4" x14ac:dyDescent="0.3">
      <c r="A133" s="1" t="s">
        <v>10</v>
      </c>
      <c r="B133" s="1">
        <v>42</v>
      </c>
      <c r="C133" s="1" t="str">
        <f t="shared" si="4"/>
        <v>40+</v>
      </c>
      <c r="D133" s="1">
        <f t="shared" si="5"/>
        <v>2.3809523809523808E-2</v>
      </c>
    </row>
    <row r="134" spans="1:4" x14ac:dyDescent="0.3">
      <c r="A134" s="1" t="s">
        <v>16</v>
      </c>
      <c r="B134" s="1">
        <v>54</v>
      </c>
      <c r="C134" s="1" t="str">
        <f t="shared" si="4"/>
        <v>40+</v>
      </c>
      <c r="D134" s="1">
        <f t="shared" si="5"/>
        <v>1.8518518518518517E-2</v>
      </c>
    </row>
    <row r="135" spans="1:4" x14ac:dyDescent="0.3">
      <c r="A135" s="1" t="s">
        <v>10</v>
      </c>
      <c r="B135" s="1">
        <v>50</v>
      </c>
      <c r="C135" s="1" t="str">
        <f t="shared" si="4"/>
        <v>40+</v>
      </c>
      <c r="D135" s="1">
        <f t="shared" si="5"/>
        <v>0.02</v>
      </c>
    </row>
    <row r="136" spans="1:4" x14ac:dyDescent="0.3">
      <c r="A136" s="1" t="s">
        <v>16</v>
      </c>
      <c r="B136" s="1">
        <v>54</v>
      </c>
      <c r="C136" s="1" t="str">
        <f t="shared" si="4"/>
        <v>40+</v>
      </c>
      <c r="D136" s="1">
        <f t="shared" si="5"/>
        <v>1.8518518518518517E-2</v>
      </c>
    </row>
    <row r="137" spans="1:4" x14ac:dyDescent="0.3">
      <c r="A137" s="1" t="s">
        <v>10</v>
      </c>
      <c r="B137" s="1">
        <v>45</v>
      </c>
      <c r="C137" s="1" t="str">
        <f t="shared" si="4"/>
        <v>40+</v>
      </c>
      <c r="D137" s="1">
        <f t="shared" si="5"/>
        <v>2.2222222222222223E-2</v>
      </c>
    </row>
    <row r="138" spans="1:4" x14ac:dyDescent="0.3">
      <c r="A138" s="1" t="s">
        <v>10</v>
      </c>
      <c r="B138" s="1">
        <v>40</v>
      </c>
      <c r="C138" s="1" t="str">
        <f t="shared" si="4"/>
        <v>30-40</v>
      </c>
      <c r="D138" s="1">
        <f t="shared" si="5"/>
        <v>2.5000000000000001E-2</v>
      </c>
    </row>
    <row r="139" spans="1:4" x14ac:dyDescent="0.3">
      <c r="A139" s="1" t="s">
        <v>16</v>
      </c>
      <c r="B139" s="1">
        <v>24</v>
      </c>
      <c r="C139" s="1" t="str">
        <f t="shared" si="4"/>
        <v>&lt;30</v>
      </c>
      <c r="D139" s="1">
        <f t="shared" si="5"/>
        <v>4.1666666666666664E-2</v>
      </c>
    </row>
    <row r="140" spans="1:4" x14ac:dyDescent="0.3">
      <c r="A140" s="1" t="s">
        <v>16</v>
      </c>
      <c r="B140" s="1">
        <v>40</v>
      </c>
      <c r="C140" s="1" t="str">
        <f t="shared" si="4"/>
        <v>30-40</v>
      </c>
      <c r="D140" s="1">
        <f t="shared" si="5"/>
        <v>2.5000000000000001E-2</v>
      </c>
    </row>
    <row r="141" spans="1:4" x14ac:dyDescent="0.3">
      <c r="A141" s="1" t="s">
        <v>10</v>
      </c>
      <c r="B141" s="1">
        <v>32</v>
      </c>
      <c r="C141" s="1" t="str">
        <f t="shared" si="4"/>
        <v>30-40</v>
      </c>
      <c r="D141" s="1">
        <f t="shared" si="5"/>
        <v>3.125E-2</v>
      </c>
    </row>
    <row r="142" spans="1:4" x14ac:dyDescent="0.3">
      <c r="A142" s="1" t="s">
        <v>10</v>
      </c>
      <c r="B142" s="1">
        <v>28</v>
      </c>
      <c r="C142" s="1" t="str">
        <f t="shared" si="4"/>
        <v>&lt;30</v>
      </c>
      <c r="D142" s="1">
        <f t="shared" si="5"/>
        <v>3.5714285714285712E-2</v>
      </c>
    </row>
    <row r="143" spans="1:4" x14ac:dyDescent="0.3">
      <c r="A143" s="1" t="s">
        <v>10</v>
      </c>
      <c r="B143" s="1">
        <v>22</v>
      </c>
      <c r="C143" s="1" t="str">
        <f t="shared" si="4"/>
        <v>&lt;30</v>
      </c>
      <c r="D143" s="1">
        <f t="shared" si="5"/>
        <v>4.5454545454545456E-2</v>
      </c>
    </row>
    <row r="144" spans="1:4" x14ac:dyDescent="0.3">
      <c r="A144" s="1" t="s">
        <v>10</v>
      </c>
      <c r="B144" s="1">
        <v>21</v>
      </c>
      <c r="C144" s="1" t="str">
        <f t="shared" si="4"/>
        <v>&lt;30</v>
      </c>
      <c r="D144" s="1">
        <f t="shared" si="5"/>
        <v>4.7619047619047616E-2</v>
      </c>
    </row>
    <row r="145" spans="1:4" x14ac:dyDescent="0.3">
      <c r="A145" s="1" t="s">
        <v>10</v>
      </c>
      <c r="B145" s="1">
        <v>31</v>
      </c>
      <c r="C145" s="1" t="str">
        <f t="shared" si="4"/>
        <v>30-40</v>
      </c>
      <c r="D145" s="1">
        <f t="shared" si="5"/>
        <v>3.2258064516129031E-2</v>
      </c>
    </row>
    <row r="146" spans="1:4" x14ac:dyDescent="0.3">
      <c r="A146" s="1" t="s">
        <v>10</v>
      </c>
      <c r="B146" s="1">
        <v>61</v>
      </c>
      <c r="C146" s="1" t="str">
        <f t="shared" si="4"/>
        <v>40+</v>
      </c>
      <c r="D146" s="1">
        <f t="shared" si="5"/>
        <v>1.6393442622950821E-2</v>
      </c>
    </row>
    <row r="147" spans="1:4" x14ac:dyDescent="0.3">
      <c r="A147" s="1" t="s">
        <v>10</v>
      </c>
      <c r="B147" s="1">
        <v>67</v>
      </c>
      <c r="C147" s="1" t="str">
        <f t="shared" si="4"/>
        <v>40+</v>
      </c>
      <c r="D147" s="1">
        <f t="shared" si="5"/>
        <v>1.4925373134328358E-2</v>
      </c>
    </row>
    <row r="148" spans="1:4" x14ac:dyDescent="0.3">
      <c r="A148" s="1" t="s">
        <v>16</v>
      </c>
      <c r="B148" s="1">
        <v>52</v>
      </c>
      <c r="C148" s="1" t="str">
        <f t="shared" si="4"/>
        <v>40+</v>
      </c>
      <c r="D148" s="1">
        <f t="shared" si="5"/>
        <v>1.9230769230769232E-2</v>
      </c>
    </row>
    <row r="149" spans="1:4" x14ac:dyDescent="0.3">
      <c r="A149" s="1" t="s">
        <v>16</v>
      </c>
      <c r="B149" s="1">
        <v>44</v>
      </c>
      <c r="C149" s="1" t="str">
        <f t="shared" si="4"/>
        <v>40+</v>
      </c>
      <c r="D149" s="1">
        <f t="shared" si="5"/>
        <v>2.2727272727272728E-2</v>
      </c>
    </row>
    <row r="150" spans="1:4" x14ac:dyDescent="0.3">
      <c r="A150" s="1" t="s">
        <v>10</v>
      </c>
      <c r="B150" s="1">
        <v>48</v>
      </c>
      <c r="C150" s="1" t="str">
        <f t="shared" si="4"/>
        <v>40+</v>
      </c>
      <c r="D150" s="1">
        <f t="shared" si="5"/>
        <v>2.0833333333333332E-2</v>
      </c>
    </row>
    <row r="151" spans="1:4" x14ac:dyDescent="0.3">
      <c r="A151" s="1" t="s">
        <v>10</v>
      </c>
      <c r="B151" s="1">
        <v>53</v>
      </c>
      <c r="C151" s="1" t="str">
        <f t="shared" si="4"/>
        <v>40+</v>
      </c>
      <c r="D151" s="1">
        <f t="shared" si="5"/>
        <v>1.8867924528301886E-2</v>
      </c>
    </row>
    <row r="152" spans="1:4" x14ac:dyDescent="0.3">
      <c r="A152" s="1" t="s">
        <v>16</v>
      </c>
      <c r="B152" s="1">
        <v>27</v>
      </c>
      <c r="C152" s="1" t="str">
        <f t="shared" si="4"/>
        <v>&lt;30</v>
      </c>
      <c r="D152" s="1">
        <f t="shared" si="5"/>
        <v>3.7037037037037035E-2</v>
      </c>
    </row>
    <row r="153" spans="1:4" x14ac:dyDescent="0.3">
      <c r="A153" s="1" t="s">
        <v>10</v>
      </c>
      <c r="B153" s="1">
        <v>28</v>
      </c>
      <c r="C153" s="1" t="str">
        <f t="shared" si="4"/>
        <v>&lt;30</v>
      </c>
      <c r="D153" s="1">
        <f t="shared" si="5"/>
        <v>3.5714285714285712E-2</v>
      </c>
    </row>
    <row r="154" spans="1:4" x14ac:dyDescent="0.3">
      <c r="A154" s="1" t="s">
        <v>10</v>
      </c>
      <c r="B154" s="1">
        <v>43</v>
      </c>
      <c r="C154" s="1" t="str">
        <f t="shared" si="4"/>
        <v>40+</v>
      </c>
      <c r="D154" s="1">
        <f t="shared" si="5"/>
        <v>2.3255813953488372E-2</v>
      </c>
    </row>
    <row r="155" spans="1:4" x14ac:dyDescent="0.3">
      <c r="A155" s="1" t="s">
        <v>16</v>
      </c>
      <c r="B155" s="1">
        <v>54</v>
      </c>
      <c r="C155" s="1" t="str">
        <f t="shared" si="4"/>
        <v>40+</v>
      </c>
      <c r="D155" s="1">
        <f t="shared" si="5"/>
        <v>1.8518518518518517E-2</v>
      </c>
    </row>
    <row r="156" spans="1:4" x14ac:dyDescent="0.3">
      <c r="A156" s="1" t="s">
        <v>16</v>
      </c>
      <c r="B156" s="1">
        <v>41</v>
      </c>
      <c r="C156" s="1" t="str">
        <f t="shared" si="4"/>
        <v>40+</v>
      </c>
      <c r="D156" s="1">
        <f t="shared" si="5"/>
        <v>2.4390243902439025E-2</v>
      </c>
    </row>
    <row r="157" spans="1:4" x14ac:dyDescent="0.3">
      <c r="A157" s="1" t="s">
        <v>10</v>
      </c>
      <c r="B157" s="1">
        <v>59</v>
      </c>
      <c r="C157" s="1" t="str">
        <f t="shared" si="4"/>
        <v>40+</v>
      </c>
      <c r="D157" s="1">
        <f t="shared" si="5"/>
        <v>1.6949152542372881E-2</v>
      </c>
    </row>
    <row r="158" spans="1:4" x14ac:dyDescent="0.3">
      <c r="A158" s="1" t="s">
        <v>10</v>
      </c>
      <c r="B158" s="1">
        <v>32</v>
      </c>
      <c r="C158" s="1" t="str">
        <f t="shared" si="4"/>
        <v>30-40</v>
      </c>
      <c r="D158" s="1">
        <f t="shared" si="5"/>
        <v>3.125E-2</v>
      </c>
    </row>
    <row r="159" spans="1:4" x14ac:dyDescent="0.3">
      <c r="A159" s="1" t="s">
        <v>10</v>
      </c>
      <c r="B159" s="1">
        <v>41</v>
      </c>
      <c r="C159" s="1" t="str">
        <f t="shared" si="4"/>
        <v>40+</v>
      </c>
      <c r="D159" s="1">
        <f t="shared" si="5"/>
        <v>2.4390243902439025E-2</v>
      </c>
    </row>
    <row r="160" spans="1:4" x14ac:dyDescent="0.3">
      <c r="A160" s="1" t="s">
        <v>10</v>
      </c>
      <c r="B160" s="1">
        <v>30</v>
      </c>
      <c r="C160" s="1" t="str">
        <f t="shared" si="4"/>
        <v>30-40</v>
      </c>
      <c r="D160" s="1">
        <f t="shared" si="5"/>
        <v>3.3333333333333333E-2</v>
      </c>
    </row>
    <row r="161" spans="1:4" x14ac:dyDescent="0.3">
      <c r="A161" s="1" t="s">
        <v>16</v>
      </c>
      <c r="B161" s="1">
        <v>22</v>
      </c>
      <c r="C161" s="1" t="str">
        <f t="shared" si="4"/>
        <v>&lt;30</v>
      </c>
      <c r="D161" s="1">
        <f t="shared" si="5"/>
        <v>4.5454545454545456E-2</v>
      </c>
    </row>
    <row r="162" spans="1:4" x14ac:dyDescent="0.3">
      <c r="A162" s="1" t="s">
        <v>10</v>
      </c>
      <c r="B162" s="1">
        <v>51</v>
      </c>
      <c r="C162" s="1" t="str">
        <f t="shared" si="4"/>
        <v>40+</v>
      </c>
      <c r="D162" s="1">
        <f t="shared" si="5"/>
        <v>1.9607843137254902E-2</v>
      </c>
    </row>
    <row r="163" spans="1:4" x14ac:dyDescent="0.3">
      <c r="A163" s="1" t="s">
        <v>10</v>
      </c>
      <c r="B163" s="1">
        <v>23</v>
      </c>
      <c r="C163" s="1" t="str">
        <f t="shared" si="4"/>
        <v>&lt;30</v>
      </c>
      <c r="D163" s="1">
        <f t="shared" si="5"/>
        <v>4.3478260869565216E-2</v>
      </c>
    </row>
    <row r="164" spans="1:4" x14ac:dyDescent="0.3">
      <c r="A164" s="1" t="s">
        <v>16</v>
      </c>
      <c r="B164" s="1">
        <v>40</v>
      </c>
      <c r="C164" s="1" t="str">
        <f t="shared" si="4"/>
        <v>30-40</v>
      </c>
      <c r="D164" s="1">
        <f t="shared" si="5"/>
        <v>2.5000000000000001E-2</v>
      </c>
    </row>
    <row r="165" spans="1:4" x14ac:dyDescent="0.3">
      <c r="A165" s="1" t="s">
        <v>16</v>
      </c>
      <c r="B165" s="1">
        <v>37</v>
      </c>
      <c r="C165" s="1" t="str">
        <f t="shared" si="4"/>
        <v>30-40</v>
      </c>
      <c r="D165" s="1">
        <f t="shared" si="5"/>
        <v>2.7027027027027029E-2</v>
      </c>
    </row>
    <row r="166" spans="1:4" x14ac:dyDescent="0.3">
      <c r="A166" s="1" t="s">
        <v>10</v>
      </c>
      <c r="B166" s="1">
        <v>24</v>
      </c>
      <c r="C166" s="1" t="str">
        <f t="shared" si="4"/>
        <v>&lt;30</v>
      </c>
      <c r="D166" s="1">
        <f t="shared" si="5"/>
        <v>4.1666666666666664E-2</v>
      </c>
    </row>
    <row r="167" spans="1:4" x14ac:dyDescent="0.3">
      <c r="A167" s="1" t="s">
        <v>16</v>
      </c>
      <c r="B167" s="1">
        <v>22</v>
      </c>
      <c r="C167" s="1" t="str">
        <f t="shared" si="4"/>
        <v>&lt;30</v>
      </c>
      <c r="D167" s="1">
        <f t="shared" si="5"/>
        <v>4.5454545454545456E-2</v>
      </c>
    </row>
    <row r="168" spans="1:4" x14ac:dyDescent="0.3">
      <c r="A168" s="1" t="s">
        <v>10</v>
      </c>
      <c r="B168" s="1">
        <v>61</v>
      </c>
      <c r="C168" s="1" t="str">
        <f t="shared" si="4"/>
        <v>40+</v>
      </c>
      <c r="D168" s="1">
        <f t="shared" si="5"/>
        <v>1.6393442622950821E-2</v>
      </c>
    </row>
    <row r="169" spans="1:4" x14ac:dyDescent="0.3">
      <c r="A169" s="1" t="s">
        <v>10</v>
      </c>
      <c r="B169" s="1">
        <v>25</v>
      </c>
      <c r="C169" s="1" t="str">
        <f t="shared" si="4"/>
        <v>&lt;30</v>
      </c>
      <c r="D169" s="1">
        <f t="shared" si="5"/>
        <v>0.04</v>
      </c>
    </row>
    <row r="170" spans="1:4" x14ac:dyDescent="0.3">
      <c r="A170" s="1" t="s">
        <v>10</v>
      </c>
      <c r="B170" s="1">
        <v>66</v>
      </c>
      <c r="C170" s="1" t="str">
        <f t="shared" si="4"/>
        <v>40+</v>
      </c>
      <c r="D170" s="1">
        <f t="shared" si="5"/>
        <v>1.5151515151515152E-2</v>
      </c>
    </row>
    <row r="171" spans="1:4" x14ac:dyDescent="0.3">
      <c r="A171" s="1" t="s">
        <v>10</v>
      </c>
      <c r="B171" s="1">
        <v>59</v>
      </c>
      <c r="C171" s="1" t="str">
        <f t="shared" si="4"/>
        <v>40+</v>
      </c>
      <c r="D171" s="1">
        <f t="shared" si="5"/>
        <v>1.6949152542372881E-2</v>
      </c>
    </row>
    <row r="172" spans="1:4" x14ac:dyDescent="0.3">
      <c r="A172" s="1" t="s">
        <v>16</v>
      </c>
      <c r="B172" s="1">
        <v>38</v>
      </c>
      <c r="C172" s="1" t="str">
        <f t="shared" si="4"/>
        <v>30-40</v>
      </c>
      <c r="D172" s="1">
        <f t="shared" si="5"/>
        <v>2.6315789473684209E-2</v>
      </c>
    </row>
    <row r="173" spans="1:4" x14ac:dyDescent="0.3">
      <c r="A173" s="1" t="s">
        <v>16</v>
      </c>
      <c r="B173" s="1">
        <v>34</v>
      </c>
      <c r="C173" s="1" t="str">
        <f t="shared" si="4"/>
        <v>30-40</v>
      </c>
      <c r="D173" s="1">
        <f t="shared" si="5"/>
        <v>2.9411764705882353E-2</v>
      </c>
    </row>
    <row r="174" spans="1:4" x14ac:dyDescent="0.3">
      <c r="A174" s="1" t="s">
        <v>10</v>
      </c>
      <c r="B174" s="1">
        <v>26</v>
      </c>
      <c r="C174" s="1" t="str">
        <f t="shared" si="4"/>
        <v>&lt;30</v>
      </c>
      <c r="D174" s="1">
        <f t="shared" si="5"/>
        <v>3.8461538461538464E-2</v>
      </c>
    </row>
    <row r="175" spans="1:4" x14ac:dyDescent="0.3">
      <c r="A175" s="1" t="s">
        <v>10</v>
      </c>
      <c r="B175" s="1">
        <v>59</v>
      </c>
      <c r="C175" s="1" t="str">
        <f t="shared" si="4"/>
        <v>40+</v>
      </c>
      <c r="D175" s="1">
        <f t="shared" si="5"/>
        <v>1.6949152542372881E-2</v>
      </c>
    </row>
    <row r="176" spans="1:4" x14ac:dyDescent="0.3">
      <c r="A176" s="1" t="s">
        <v>10</v>
      </c>
      <c r="B176" s="1">
        <v>53</v>
      </c>
      <c r="C176" s="1" t="str">
        <f t="shared" si="4"/>
        <v>40+</v>
      </c>
      <c r="D176" s="1">
        <f t="shared" si="5"/>
        <v>1.8867924528301886E-2</v>
      </c>
    </row>
    <row r="177" spans="1:4" x14ac:dyDescent="0.3">
      <c r="A177" s="1" t="s">
        <v>16</v>
      </c>
      <c r="B177" s="1">
        <v>23</v>
      </c>
      <c r="C177" s="1" t="str">
        <f t="shared" si="4"/>
        <v>&lt;30</v>
      </c>
      <c r="D177" s="1">
        <f t="shared" si="5"/>
        <v>4.3478260869565216E-2</v>
      </c>
    </row>
    <row r="178" spans="1:4" x14ac:dyDescent="0.3">
      <c r="A178" s="1" t="s">
        <v>10</v>
      </c>
      <c r="B178" s="1">
        <v>23</v>
      </c>
      <c r="C178" s="1" t="str">
        <f t="shared" si="4"/>
        <v>&lt;30</v>
      </c>
      <c r="D178" s="1">
        <f t="shared" si="5"/>
        <v>4.3478260869565216E-2</v>
      </c>
    </row>
    <row r="179" spans="1:4" x14ac:dyDescent="0.3">
      <c r="A179" s="1" t="s">
        <v>10</v>
      </c>
      <c r="B179" s="1">
        <v>66</v>
      </c>
      <c r="C179" s="1" t="str">
        <f t="shared" si="4"/>
        <v>40+</v>
      </c>
      <c r="D179" s="1">
        <f t="shared" si="5"/>
        <v>1.5151515151515152E-2</v>
      </c>
    </row>
    <row r="180" spans="1:4" x14ac:dyDescent="0.3">
      <c r="A180" s="1" t="s">
        <v>10</v>
      </c>
      <c r="B180" s="1">
        <v>56</v>
      </c>
      <c r="C180" s="1" t="str">
        <f t="shared" si="4"/>
        <v>40+</v>
      </c>
      <c r="D180" s="1">
        <f t="shared" si="5"/>
        <v>1.7857142857142856E-2</v>
      </c>
    </row>
    <row r="181" spans="1:4" x14ac:dyDescent="0.3">
      <c r="A181" s="1" t="s">
        <v>10</v>
      </c>
      <c r="B181" s="1">
        <v>38</v>
      </c>
      <c r="C181" s="1" t="str">
        <f t="shared" si="4"/>
        <v>30-40</v>
      </c>
      <c r="D181" s="1">
        <f t="shared" si="5"/>
        <v>2.6315789473684209E-2</v>
      </c>
    </row>
    <row r="182" spans="1:4" x14ac:dyDescent="0.3">
      <c r="A182" s="1" t="s">
        <v>16</v>
      </c>
      <c r="B182" s="1">
        <v>28</v>
      </c>
      <c r="C182" s="1" t="str">
        <f t="shared" si="4"/>
        <v>&lt;30</v>
      </c>
      <c r="D182" s="1">
        <f t="shared" si="5"/>
        <v>3.5714285714285712E-2</v>
      </c>
    </row>
    <row r="183" spans="1:4" x14ac:dyDescent="0.3">
      <c r="A183" s="1" t="s">
        <v>10</v>
      </c>
      <c r="B183" s="1">
        <v>44</v>
      </c>
      <c r="C183" s="1" t="str">
        <f t="shared" si="4"/>
        <v>40+</v>
      </c>
      <c r="D183" s="1">
        <f t="shared" si="5"/>
        <v>2.2727272727272728E-2</v>
      </c>
    </row>
    <row r="184" spans="1:4" x14ac:dyDescent="0.3">
      <c r="A184" s="1" t="s">
        <v>10</v>
      </c>
      <c r="B184" s="1">
        <v>26</v>
      </c>
      <c r="C184" s="1" t="str">
        <f t="shared" si="4"/>
        <v>&lt;30</v>
      </c>
      <c r="D184" s="1">
        <f t="shared" si="5"/>
        <v>3.8461538461538464E-2</v>
      </c>
    </row>
    <row r="185" spans="1:4" x14ac:dyDescent="0.3">
      <c r="A185" s="1" t="s">
        <v>10</v>
      </c>
      <c r="B185" s="1">
        <v>41</v>
      </c>
      <c r="C185" s="1" t="str">
        <f t="shared" si="4"/>
        <v>40+</v>
      </c>
      <c r="D185" s="1">
        <f t="shared" si="5"/>
        <v>2.4390243902439025E-2</v>
      </c>
    </row>
    <row r="186" spans="1:4" x14ac:dyDescent="0.3">
      <c r="A186" s="1" t="s">
        <v>16</v>
      </c>
      <c r="B186" s="1">
        <v>50</v>
      </c>
      <c r="C186" s="1" t="str">
        <f t="shared" si="4"/>
        <v>40+</v>
      </c>
      <c r="D186" s="1">
        <f t="shared" si="5"/>
        <v>0.02</v>
      </c>
    </row>
    <row r="187" spans="1:4" x14ac:dyDescent="0.3">
      <c r="A187" s="1" t="s">
        <v>10</v>
      </c>
      <c r="B187" s="1">
        <v>23</v>
      </c>
      <c r="C187" s="1" t="str">
        <f t="shared" si="4"/>
        <v>&lt;30</v>
      </c>
      <c r="D187" s="1">
        <f t="shared" si="5"/>
        <v>4.3478260869565216E-2</v>
      </c>
    </row>
    <row r="188" spans="1:4" x14ac:dyDescent="0.3">
      <c r="A188" s="1" t="s">
        <v>10</v>
      </c>
      <c r="B188" s="1">
        <v>31</v>
      </c>
      <c r="C188" s="1" t="str">
        <f t="shared" si="4"/>
        <v>30-40</v>
      </c>
      <c r="D188" s="1">
        <f t="shared" si="5"/>
        <v>3.2258064516129031E-2</v>
      </c>
    </row>
    <row r="189" spans="1:4" x14ac:dyDescent="0.3">
      <c r="A189" s="1" t="s">
        <v>16</v>
      </c>
      <c r="B189" s="1">
        <v>26</v>
      </c>
      <c r="C189" s="1" t="str">
        <f t="shared" si="4"/>
        <v>&lt;30</v>
      </c>
      <c r="D189" s="1">
        <f t="shared" si="5"/>
        <v>3.8461538461538464E-2</v>
      </c>
    </row>
    <row r="190" spans="1:4" x14ac:dyDescent="0.3">
      <c r="A190" s="1" t="s">
        <v>10</v>
      </c>
      <c r="B190" s="1">
        <v>56</v>
      </c>
      <c r="C190" s="1" t="str">
        <f t="shared" si="4"/>
        <v>40+</v>
      </c>
      <c r="D190" s="1">
        <f t="shared" si="5"/>
        <v>1.7857142857142856E-2</v>
      </c>
    </row>
    <row r="191" spans="1:4" x14ac:dyDescent="0.3">
      <c r="A191" s="1" t="s">
        <v>10</v>
      </c>
      <c r="B191" s="1">
        <v>34</v>
      </c>
      <c r="C191" s="1" t="str">
        <f t="shared" si="4"/>
        <v>30-40</v>
      </c>
      <c r="D191" s="1">
        <f t="shared" si="5"/>
        <v>2.9411764705882353E-2</v>
      </c>
    </row>
    <row r="192" spans="1:4" x14ac:dyDescent="0.3">
      <c r="A192" s="1" t="s">
        <v>10</v>
      </c>
      <c r="B192" s="1">
        <v>29</v>
      </c>
      <c r="C192" s="1" t="str">
        <f t="shared" si="4"/>
        <v>&lt;30</v>
      </c>
      <c r="D192" s="1">
        <f t="shared" si="5"/>
        <v>3.4482758620689655E-2</v>
      </c>
    </row>
    <row r="193" spans="1:4" x14ac:dyDescent="0.3">
      <c r="A193" s="1" t="s">
        <v>10</v>
      </c>
      <c r="B193" s="1">
        <v>20</v>
      </c>
      <c r="C193" s="1" t="str">
        <f t="shared" si="4"/>
        <v>&lt;30</v>
      </c>
      <c r="D193" s="1">
        <f t="shared" si="5"/>
        <v>0.05</v>
      </c>
    </row>
    <row r="194" spans="1:4" x14ac:dyDescent="0.3">
      <c r="A194" s="1" t="s">
        <v>10</v>
      </c>
      <c r="B194" s="1">
        <v>54</v>
      </c>
      <c r="C194" s="1" t="str">
        <f t="shared" si="4"/>
        <v>40+</v>
      </c>
      <c r="D194" s="1">
        <f t="shared" si="5"/>
        <v>1.8518518518518517E-2</v>
      </c>
    </row>
    <row r="195" spans="1:4" x14ac:dyDescent="0.3">
      <c r="A195" s="1" t="s">
        <v>16</v>
      </c>
      <c r="B195" s="1">
        <v>40</v>
      </c>
      <c r="C195" s="1" t="str">
        <f t="shared" ref="C195:C201" si="6">IF(AND(NOT(ISBLANK(B195)),B195&lt;30),"&lt;30",IF(AND(B195&gt;=30,B195&lt;=40),"30-40","40+"))</f>
        <v>30-40</v>
      </c>
      <c r="D195" s="1">
        <f t="shared" ref="D195:D201" si="7">IFERROR(1/B195,0)</f>
        <v>2.5000000000000001E-2</v>
      </c>
    </row>
    <row r="196" spans="1:4" x14ac:dyDescent="0.3">
      <c r="A196" s="1" t="s">
        <v>16</v>
      </c>
      <c r="B196" s="1">
        <v>40</v>
      </c>
      <c r="C196" s="1" t="str">
        <f t="shared" si="6"/>
        <v>30-40</v>
      </c>
      <c r="D196" s="1">
        <f t="shared" si="7"/>
        <v>2.5000000000000001E-2</v>
      </c>
    </row>
    <row r="197" spans="1:4" x14ac:dyDescent="0.3">
      <c r="A197" s="1" t="s">
        <v>16</v>
      </c>
      <c r="B197" s="1">
        <v>21</v>
      </c>
      <c r="C197" s="1" t="str">
        <f t="shared" si="6"/>
        <v>&lt;30</v>
      </c>
      <c r="D197" s="1">
        <f t="shared" si="7"/>
        <v>4.7619047619047616E-2</v>
      </c>
    </row>
    <row r="198" spans="1:4" x14ac:dyDescent="0.3">
      <c r="A198" s="1" t="s">
        <v>10</v>
      </c>
      <c r="B198" s="1">
        <v>32</v>
      </c>
      <c r="C198" s="1" t="str">
        <f t="shared" si="6"/>
        <v>30-40</v>
      </c>
      <c r="D198" s="1">
        <f t="shared" si="7"/>
        <v>3.125E-2</v>
      </c>
    </row>
    <row r="199" spans="1:4" x14ac:dyDescent="0.3">
      <c r="A199" s="1" t="s">
        <v>16</v>
      </c>
      <c r="B199" s="1">
        <v>47</v>
      </c>
      <c r="C199" s="1" t="str">
        <f t="shared" si="6"/>
        <v>40+</v>
      </c>
      <c r="D199" s="1">
        <f t="shared" si="7"/>
        <v>2.1276595744680851E-2</v>
      </c>
    </row>
    <row r="200" spans="1:4" x14ac:dyDescent="0.3">
      <c r="A200" s="1" t="s">
        <v>10</v>
      </c>
      <c r="B200" s="1">
        <v>41</v>
      </c>
      <c r="C200" s="1" t="str">
        <f t="shared" si="6"/>
        <v>40+</v>
      </c>
      <c r="D200" s="1">
        <f t="shared" si="7"/>
        <v>2.4390243902439025E-2</v>
      </c>
    </row>
    <row r="201" spans="1:4" x14ac:dyDescent="0.3">
      <c r="A201" s="1" t="s">
        <v>16</v>
      </c>
      <c r="B201" s="1">
        <v>33</v>
      </c>
      <c r="C201" s="1" t="str">
        <f t="shared" si="6"/>
        <v>30-40</v>
      </c>
      <c r="D201" s="1">
        <f t="shared" si="7"/>
        <v>3.0303030303030304E-2</v>
      </c>
    </row>
  </sheetData>
  <autoFilter ref="A1:D201" xr:uid="{A46D899B-198F-435F-B78C-3313E0797E89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7BF0-0CA1-4F6B-B657-BE2D70510BE6}">
  <dimension ref="A1:I7"/>
  <sheetViews>
    <sheetView workbookViewId="0">
      <selection activeCell="I3" sqref="I3"/>
    </sheetView>
  </sheetViews>
  <sheetFormatPr defaultRowHeight="14.4" x14ac:dyDescent="0.3"/>
  <cols>
    <col min="1" max="1" width="20.44140625" bestFit="1" customWidth="1"/>
    <col min="2" max="2" width="20.21875" bestFit="1" customWidth="1"/>
    <col min="3" max="3" width="24.44140625" bestFit="1" customWidth="1"/>
    <col min="4" max="4" width="20.44140625" bestFit="1" customWidth="1"/>
    <col min="7" max="7" width="20.44140625" bestFit="1" customWidth="1"/>
  </cols>
  <sheetData>
    <row r="1" spans="1:9" x14ac:dyDescent="0.3">
      <c r="A1" t="s">
        <v>422</v>
      </c>
      <c r="B1" t="s">
        <v>534</v>
      </c>
      <c r="C1" t="s">
        <v>535</v>
      </c>
      <c r="D1" t="s">
        <v>536</v>
      </c>
    </row>
    <row r="2" spans="1:9" x14ac:dyDescent="0.3">
      <c r="A2" t="s">
        <v>537</v>
      </c>
      <c r="B2" t="str">
        <f>LOWER(A2)</f>
        <v xml:space="preserve">apple iphone 12                           </v>
      </c>
      <c r="C2" t="str">
        <f>UPPER(A2)</f>
        <v xml:space="preserve">APPLE IPHONE 12                           </v>
      </c>
      <c r="D2" t="str">
        <f>PROPER(A2)</f>
        <v xml:space="preserve">Apple Iphone 12                           </v>
      </c>
      <c r="E2">
        <f>LEN(A2)</f>
        <v>42</v>
      </c>
      <c r="F2">
        <f>LEN(TRIM(A2))</f>
        <v>15</v>
      </c>
      <c r="G2" t="str">
        <f>TRIM(A2)</f>
        <v>Apple iPhone 12</v>
      </c>
      <c r="H2" t="str">
        <f>LEFT(G2,5)</f>
        <v>Apple</v>
      </c>
      <c r="I2" t="str">
        <f>RIGHT(G2,5)</f>
        <v>ne 12</v>
      </c>
    </row>
    <row r="3" spans="1:9" x14ac:dyDescent="0.3">
      <c r="A3" t="s">
        <v>423</v>
      </c>
      <c r="B3" t="str">
        <f t="shared" ref="B3:B7" si="0">LOWER(A3)</f>
        <v>samsung galaxy s21</v>
      </c>
      <c r="C3" t="str">
        <f t="shared" ref="C3:C7" si="1">UPPER(A3)</f>
        <v>SAMSUNG GALAXY S21</v>
      </c>
      <c r="D3" t="str">
        <f t="shared" ref="D3:D7" si="2">PROPER(A3)</f>
        <v>Samsung Galaxy S21</v>
      </c>
      <c r="E3">
        <f t="shared" ref="E3:E7" si="3">LEN(A3)</f>
        <v>18</v>
      </c>
      <c r="F3">
        <f t="shared" ref="F3:F7" si="4">LEN(TRIM(A3))</f>
        <v>18</v>
      </c>
      <c r="G3" t="str">
        <f t="shared" ref="G3:G7" si="5">TRIM(A3)</f>
        <v>Samsung Galaxy S21</v>
      </c>
      <c r="H3" t="str">
        <f t="shared" ref="H3:H7" si="6">LEFT(G3,5)</f>
        <v>Samsu</v>
      </c>
    </row>
    <row r="4" spans="1:9" x14ac:dyDescent="0.3">
      <c r="A4" t="s">
        <v>424</v>
      </c>
      <c r="B4" t="str">
        <f t="shared" si="0"/>
        <v>hp laptop</v>
      </c>
      <c r="C4" t="str">
        <f t="shared" si="1"/>
        <v>HP LAPTOP</v>
      </c>
      <c r="D4" t="str">
        <f t="shared" si="2"/>
        <v>Hp Laptop</v>
      </c>
      <c r="E4">
        <f t="shared" si="3"/>
        <v>9</v>
      </c>
      <c r="F4">
        <f t="shared" si="4"/>
        <v>9</v>
      </c>
      <c r="G4" t="str">
        <f t="shared" si="5"/>
        <v>hp Laptop</v>
      </c>
      <c r="H4" t="str">
        <f t="shared" si="6"/>
        <v>hp La</v>
      </c>
    </row>
    <row r="5" spans="1:9" x14ac:dyDescent="0.3">
      <c r="A5" t="s">
        <v>425</v>
      </c>
      <c r="B5" t="str">
        <f t="shared" si="0"/>
        <v>dell xps 15 laptop</v>
      </c>
      <c r="C5" t="str">
        <f t="shared" si="1"/>
        <v>DELL XPS 15 LAPTOP</v>
      </c>
      <c r="D5" t="str">
        <f t="shared" si="2"/>
        <v>Dell Xps 15 Laptop</v>
      </c>
      <c r="E5">
        <f t="shared" si="3"/>
        <v>18</v>
      </c>
      <c r="F5">
        <f t="shared" si="4"/>
        <v>18</v>
      </c>
      <c r="G5" t="str">
        <f t="shared" si="5"/>
        <v>Dell XPS 15 Laptop</v>
      </c>
      <c r="H5" t="str">
        <f t="shared" si="6"/>
        <v xml:space="preserve">Dell </v>
      </c>
    </row>
    <row r="6" spans="1:9" x14ac:dyDescent="0.3">
      <c r="A6" t="s">
        <v>426</v>
      </c>
      <c r="B6" t="str">
        <f t="shared" si="0"/>
        <v>microsoft surface pro 7</v>
      </c>
      <c r="C6" t="str">
        <f t="shared" si="1"/>
        <v>MICROSOFT SURFACE PRO 7</v>
      </c>
      <c r="D6" t="str">
        <f t="shared" si="2"/>
        <v>Microsoft Surface Pro 7</v>
      </c>
      <c r="E6">
        <f t="shared" si="3"/>
        <v>23</v>
      </c>
      <c r="F6">
        <f t="shared" si="4"/>
        <v>23</v>
      </c>
      <c r="G6" t="str">
        <f t="shared" si="5"/>
        <v>Microsoft Surface Pro 7</v>
      </c>
      <c r="H6" t="str">
        <f t="shared" si="6"/>
        <v>Micro</v>
      </c>
    </row>
    <row r="7" spans="1:9" x14ac:dyDescent="0.3">
      <c r="A7" t="s">
        <v>427</v>
      </c>
      <c r="B7" t="str">
        <f t="shared" si="0"/>
        <v>asus zenbook</v>
      </c>
      <c r="C7" t="str">
        <f t="shared" si="1"/>
        <v>ASUS ZENBOOK</v>
      </c>
      <c r="D7" t="str">
        <f t="shared" si="2"/>
        <v>Asus Zenbook</v>
      </c>
      <c r="E7">
        <f t="shared" si="3"/>
        <v>12</v>
      </c>
      <c r="F7">
        <f t="shared" si="4"/>
        <v>12</v>
      </c>
      <c r="G7" t="str">
        <f t="shared" si="5"/>
        <v>ASUS ZenBook</v>
      </c>
      <c r="H7" t="str">
        <f t="shared" si="6"/>
        <v xml:space="preserve">ASUS 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4B58-A34B-4C89-81A7-E820DF4179E3}">
  <dimension ref="A1:P201"/>
  <sheetViews>
    <sheetView topLeftCell="B1" zoomScale="140" zoomScaleNormal="140" workbookViewId="0">
      <selection activeCell="I12" sqref="I12"/>
    </sheetView>
  </sheetViews>
  <sheetFormatPr defaultColWidth="15" defaultRowHeight="14.4" x14ac:dyDescent="0.3"/>
  <cols>
    <col min="1" max="1" width="8.6640625" style="15" customWidth="1"/>
    <col min="2" max="2" width="9.6640625" style="15" customWidth="1"/>
    <col min="3" max="3" width="12" style="15" customWidth="1"/>
    <col min="4" max="9" width="10.109375" style="15" customWidth="1"/>
    <col min="10" max="10" width="6.109375" style="15" bestFit="1" customWidth="1"/>
    <col min="11" max="12" width="10.109375" style="15" customWidth="1"/>
    <col min="13" max="14" width="10.109375" style="1" customWidth="1"/>
    <col min="15" max="15" width="11.6640625" style="1" customWidth="1"/>
    <col min="16" max="16" width="14.6640625" style="1" customWidth="1"/>
    <col min="17" max="16384" width="15" style="1"/>
  </cols>
  <sheetData>
    <row r="1" spans="1:16" s="3" customFormat="1" ht="28.8" x14ac:dyDescent="0.3">
      <c r="A1" s="13" t="s">
        <v>239</v>
      </c>
      <c r="B1" s="13" t="s">
        <v>288</v>
      </c>
      <c r="C1" s="13" t="s">
        <v>289</v>
      </c>
      <c r="D1" s="13" t="s">
        <v>290</v>
      </c>
      <c r="E1" s="13" t="s">
        <v>291</v>
      </c>
      <c r="F1" s="13" t="s">
        <v>292</v>
      </c>
      <c r="G1" s="13" t="s">
        <v>293</v>
      </c>
      <c r="H1" s="13" t="s">
        <v>294</v>
      </c>
      <c r="I1" s="13" t="s">
        <v>295</v>
      </c>
      <c r="J1" s="13" t="s">
        <v>296</v>
      </c>
      <c r="K1" s="16" t="s">
        <v>297</v>
      </c>
      <c r="L1" s="13"/>
      <c r="M1" s="13" t="s">
        <v>294</v>
      </c>
      <c r="N1" s="13" t="s">
        <v>295</v>
      </c>
      <c r="O1" s="13" t="s">
        <v>296</v>
      </c>
      <c r="P1" s="16" t="s">
        <v>297</v>
      </c>
    </row>
    <row r="2" spans="1:16" ht="28.8" x14ac:dyDescent="0.3">
      <c r="A2" s="14">
        <v>77</v>
      </c>
      <c r="B2" s="14" t="s">
        <v>374</v>
      </c>
      <c r="C2" s="14">
        <v>48</v>
      </c>
      <c r="D2" s="14">
        <v>21</v>
      </c>
      <c r="E2" s="14">
        <v>10</v>
      </c>
      <c r="F2" s="14">
        <v>18</v>
      </c>
      <c r="G2" s="14">
        <v>32</v>
      </c>
      <c r="H2" s="14">
        <f>SUM(C2:G2)</f>
        <v>129</v>
      </c>
      <c r="I2" s="14">
        <f>AVERAGE(C2:G2)</f>
        <v>25.8</v>
      </c>
      <c r="J2" s="14" t="str">
        <f>IF(I2&gt;90,"A++",IF(I2&gt;80,"A+",IF(I2&gt;70,"A",IF(I2&gt;60,"B",IF(I2&gt;35,"C","F")))))</f>
        <v>F</v>
      </c>
      <c r="K2" s="14" t="str">
        <f>IF(J2="F","Fail","Pass")</f>
        <v>Fail</v>
      </c>
      <c r="L2" s="14"/>
      <c r="M2" s="14">
        <f>SUM(C2:G2)</f>
        <v>129</v>
      </c>
      <c r="N2" s="14">
        <f>AVERAGE(C2:G2)</f>
        <v>25.8</v>
      </c>
      <c r="O2" s="14" t="str">
        <f>IF(N2&gt;=90,"A++",IF(N2&gt;=80,"A+",IF(N2&gt;=70,"A",IF(N2&gt;=60,"B+",IF(N2&gt;=50,"B","F")))))</f>
        <v>F</v>
      </c>
      <c r="P2" s="14" t="str">
        <f>IF(O2="F", "Fail","Pass")</f>
        <v>Fail</v>
      </c>
    </row>
    <row r="3" spans="1:16" ht="28.8" x14ac:dyDescent="0.3">
      <c r="A3" s="14">
        <v>52</v>
      </c>
      <c r="B3" s="14" t="s">
        <v>349</v>
      </c>
      <c r="C3" s="14">
        <v>50</v>
      </c>
      <c r="D3" s="14">
        <v>25</v>
      </c>
      <c r="E3" s="14">
        <v>12</v>
      </c>
      <c r="F3" s="14">
        <v>16</v>
      </c>
      <c r="G3" s="14">
        <v>29</v>
      </c>
      <c r="H3" s="14">
        <f>SUM(C3:G3)</f>
        <v>132</v>
      </c>
      <c r="I3" s="14">
        <f>AVERAGE(C3:G3)</f>
        <v>26.4</v>
      </c>
      <c r="J3" s="14" t="str">
        <f>IF(I3&gt;90,"A++",IF(I3&gt;80,"A+",IF(I3&gt;70,"A",IF(I3&gt;60,"B",IF(I3&gt;35,"C","F")))))</f>
        <v>F</v>
      </c>
      <c r="K3" s="14" t="str">
        <f>IF(J3="F","Fail","Pass")</f>
        <v>Fail</v>
      </c>
      <c r="L3" s="14"/>
      <c r="M3" s="14">
        <f t="shared" ref="M3:M66" si="0">SUM(C3:G3)</f>
        <v>132</v>
      </c>
      <c r="N3" s="14">
        <f t="shared" ref="N3:N66" si="1">AVERAGE(C3:G3)</f>
        <v>26.4</v>
      </c>
      <c r="O3" s="14" t="str">
        <f t="shared" ref="O3:O66" si="2">IF(N3&gt;=90,"A++",IF(N3&gt;=80,"A+",IF(N3&gt;=70,"A",IF(N3&gt;=60,"B+",IF(N3&gt;=50,"B","F")))))</f>
        <v>F</v>
      </c>
      <c r="P3" s="14" t="str">
        <f t="shared" ref="P3:P66" si="3">IF(O3="F", "Fail","Pass")</f>
        <v>Fail</v>
      </c>
    </row>
    <row r="4" spans="1:16" x14ac:dyDescent="0.3">
      <c r="A4" s="14">
        <v>11</v>
      </c>
      <c r="B4" s="14" t="s">
        <v>308</v>
      </c>
      <c r="C4" s="14">
        <v>13</v>
      </c>
      <c r="D4" s="14">
        <v>48</v>
      </c>
      <c r="E4" s="14">
        <v>27</v>
      </c>
      <c r="F4" s="14">
        <v>26</v>
      </c>
      <c r="G4" s="14">
        <v>38</v>
      </c>
      <c r="H4" s="14">
        <f>SUM(C4:G4)</f>
        <v>152</v>
      </c>
      <c r="I4" s="14">
        <f>AVERAGE(C4:G4)</f>
        <v>30.4</v>
      </c>
      <c r="J4" s="14" t="str">
        <f>IF(I4&gt;90,"A++",IF(I4&gt;80,"A+",IF(I4&gt;70,"A",IF(I4&gt;60,"B",IF(I4&gt;35,"C","F")))))</f>
        <v>F</v>
      </c>
      <c r="K4" s="14" t="str">
        <f>IF(J4="F","Fail","Pass")</f>
        <v>Fail</v>
      </c>
      <c r="L4" s="14"/>
      <c r="M4" s="14">
        <f t="shared" si="0"/>
        <v>152</v>
      </c>
      <c r="N4" s="14">
        <f t="shared" si="1"/>
        <v>30.4</v>
      </c>
      <c r="O4" s="14" t="str">
        <f t="shared" si="2"/>
        <v>F</v>
      </c>
      <c r="P4" s="14" t="str">
        <f t="shared" si="3"/>
        <v>Fail</v>
      </c>
    </row>
    <row r="5" spans="1:16" x14ac:dyDescent="0.3">
      <c r="A5" s="14">
        <v>19</v>
      </c>
      <c r="B5" s="14" t="s">
        <v>316</v>
      </c>
      <c r="C5" s="14">
        <v>33</v>
      </c>
      <c r="D5" s="14">
        <v>33</v>
      </c>
      <c r="E5" s="14">
        <v>33</v>
      </c>
      <c r="F5" s="14">
        <v>33</v>
      </c>
      <c r="G5" s="14">
        <v>33</v>
      </c>
      <c r="H5" s="14">
        <f>SUM(C5:G5)</f>
        <v>165</v>
      </c>
      <c r="I5" s="14">
        <f>AVERAGE(C5:G5)</f>
        <v>33</v>
      </c>
      <c r="J5" s="14" t="str">
        <f>IF(I5&gt;90,"A++",IF(I5&gt;80,"A+",IF(I5&gt;70,"A",IF(I5&gt;60,"B",IF(I5&gt;35,"C","F")))))</f>
        <v>F</v>
      </c>
      <c r="K5" s="14" t="str">
        <f>IF(J5="F","Fail","Pass")</f>
        <v>Fail</v>
      </c>
      <c r="L5" s="14"/>
      <c r="M5" s="14">
        <f t="shared" si="0"/>
        <v>165</v>
      </c>
      <c r="N5" s="14">
        <f t="shared" si="1"/>
        <v>33</v>
      </c>
      <c r="O5" s="14" t="str">
        <f t="shared" si="2"/>
        <v>F</v>
      </c>
      <c r="P5" s="14" t="str">
        <f t="shared" si="3"/>
        <v>Fail</v>
      </c>
    </row>
    <row r="6" spans="1:16" x14ac:dyDescent="0.3">
      <c r="A6" s="14">
        <v>120</v>
      </c>
      <c r="B6" s="14" t="s">
        <v>417</v>
      </c>
      <c r="C6" s="14">
        <v>33</v>
      </c>
      <c r="D6" s="14">
        <v>56</v>
      </c>
      <c r="E6" s="14">
        <v>34</v>
      </c>
      <c r="F6" s="14">
        <v>28</v>
      </c>
      <c r="G6" s="14">
        <v>25</v>
      </c>
      <c r="H6" s="14">
        <f>SUM(C6:G6)</f>
        <v>176</v>
      </c>
      <c r="I6" s="14">
        <f>AVERAGE(C6:G6)</f>
        <v>35.200000000000003</v>
      </c>
      <c r="J6" s="14" t="str">
        <f>IF(I6&gt;90,"A++",IF(I6&gt;80,"A+",IF(I6&gt;70,"A",IF(I6&gt;60,"B",IF(I6&gt;35,"C","F")))))</f>
        <v>C</v>
      </c>
      <c r="K6" s="14" t="str">
        <f>IF(J6="F","Fail","Pass")</f>
        <v>Pass</v>
      </c>
      <c r="L6" s="14"/>
      <c r="M6" s="14">
        <f t="shared" si="0"/>
        <v>176</v>
      </c>
      <c r="N6" s="14">
        <f t="shared" si="1"/>
        <v>35.200000000000003</v>
      </c>
      <c r="O6" s="14" t="str">
        <f t="shared" si="2"/>
        <v>F</v>
      </c>
      <c r="P6" s="14" t="str">
        <f t="shared" si="3"/>
        <v>Fail</v>
      </c>
    </row>
    <row r="7" spans="1:16" ht="28.8" x14ac:dyDescent="0.3">
      <c r="A7" s="14">
        <v>55</v>
      </c>
      <c r="B7" s="14" t="s">
        <v>352</v>
      </c>
      <c r="C7" s="14">
        <v>42</v>
      </c>
      <c r="D7" s="14">
        <v>51</v>
      </c>
      <c r="E7" s="14">
        <v>39</v>
      </c>
      <c r="F7" s="14">
        <v>28</v>
      </c>
      <c r="G7" s="14">
        <v>18</v>
      </c>
      <c r="H7" s="14">
        <f>SUM(C7:G7)</f>
        <v>178</v>
      </c>
      <c r="I7" s="14">
        <f>AVERAGE(C7:G7)</f>
        <v>35.6</v>
      </c>
      <c r="J7" s="14" t="str">
        <f>IF(I7&gt;90,"A++",IF(I7&gt;80,"A+",IF(I7&gt;70,"A",IF(I7&gt;60,"B",IF(I7&gt;35,"C","F")))))</f>
        <v>C</v>
      </c>
      <c r="K7" s="14" t="str">
        <f>IF(J7="F","Fail","Pass")</f>
        <v>Pass</v>
      </c>
      <c r="L7" s="14"/>
      <c r="M7" s="14">
        <f t="shared" si="0"/>
        <v>178</v>
      </c>
      <c r="N7" s="14">
        <f t="shared" si="1"/>
        <v>35.6</v>
      </c>
      <c r="O7" s="14" t="str">
        <f t="shared" si="2"/>
        <v>F</v>
      </c>
      <c r="P7" s="14" t="str">
        <f t="shared" si="3"/>
        <v>Fail</v>
      </c>
    </row>
    <row r="8" spans="1:16" x14ac:dyDescent="0.3">
      <c r="A8" s="14">
        <v>13</v>
      </c>
      <c r="B8" s="14" t="s">
        <v>310</v>
      </c>
      <c r="C8" s="14">
        <v>28</v>
      </c>
      <c r="D8" s="14">
        <v>31</v>
      </c>
      <c r="E8" s="14">
        <v>27</v>
      </c>
      <c r="F8" s="14">
        <v>77</v>
      </c>
      <c r="G8" s="14">
        <v>17</v>
      </c>
      <c r="H8" s="14">
        <f>SUM(C8:G8)</f>
        <v>180</v>
      </c>
      <c r="I8" s="14">
        <f>AVERAGE(C8:G8)</f>
        <v>36</v>
      </c>
      <c r="J8" s="14" t="str">
        <f>IF(I8&gt;90,"A++",IF(I8&gt;80,"A+",IF(I8&gt;70,"A",IF(I8&gt;60,"B",IF(I8&gt;35,"C","F")))))</f>
        <v>C</v>
      </c>
      <c r="K8" s="14" t="str">
        <f>IF(J8="F","Fail","Pass")</f>
        <v>Pass</v>
      </c>
      <c r="L8" s="14"/>
      <c r="M8" s="14">
        <f t="shared" si="0"/>
        <v>180</v>
      </c>
      <c r="N8" s="14">
        <f t="shared" si="1"/>
        <v>36</v>
      </c>
      <c r="O8" s="14" t="str">
        <f t="shared" si="2"/>
        <v>F</v>
      </c>
      <c r="P8" s="14" t="str">
        <f t="shared" si="3"/>
        <v>Fail</v>
      </c>
    </row>
    <row r="9" spans="1:16" ht="28.8" x14ac:dyDescent="0.3">
      <c r="A9" s="14">
        <v>32</v>
      </c>
      <c r="B9" s="14" t="s">
        <v>329</v>
      </c>
      <c r="C9" s="14">
        <v>68</v>
      </c>
      <c r="D9" s="14">
        <v>42</v>
      </c>
      <c r="E9" s="14">
        <v>35</v>
      </c>
      <c r="F9" s="14">
        <v>23</v>
      </c>
      <c r="G9" s="14">
        <v>14</v>
      </c>
      <c r="H9" s="14">
        <f>SUM(C9:G9)</f>
        <v>182</v>
      </c>
      <c r="I9" s="14">
        <f>AVERAGE(C9:G9)</f>
        <v>36.4</v>
      </c>
      <c r="J9" s="14" t="str">
        <f>IF(I9&gt;90,"A++",IF(I9&gt;80,"A+",IF(I9&gt;70,"A",IF(I9&gt;60,"B",IF(I9&gt;35,"C","F")))))</f>
        <v>C</v>
      </c>
      <c r="K9" s="14" t="str">
        <f>IF(J9="F","Fail","Pass")</f>
        <v>Pass</v>
      </c>
      <c r="L9" s="14"/>
      <c r="M9" s="14">
        <f t="shared" si="0"/>
        <v>182</v>
      </c>
      <c r="N9" s="14">
        <f t="shared" si="1"/>
        <v>36.4</v>
      </c>
      <c r="O9" s="14" t="str">
        <f t="shared" si="2"/>
        <v>F</v>
      </c>
      <c r="P9" s="14" t="str">
        <f t="shared" si="3"/>
        <v>Fail</v>
      </c>
    </row>
    <row r="10" spans="1:16" ht="28.8" x14ac:dyDescent="0.3">
      <c r="A10" s="14">
        <v>90</v>
      </c>
      <c r="B10" s="14" t="s">
        <v>387</v>
      </c>
      <c r="C10" s="14">
        <v>86</v>
      </c>
      <c r="D10" s="14">
        <v>19</v>
      </c>
      <c r="E10" s="14">
        <v>15</v>
      </c>
      <c r="F10" s="14">
        <v>33</v>
      </c>
      <c r="G10" s="14">
        <v>35</v>
      </c>
      <c r="H10" s="14">
        <f>SUM(C10:G10)</f>
        <v>188</v>
      </c>
      <c r="I10" s="14">
        <f>AVERAGE(C10:G10)</f>
        <v>37.6</v>
      </c>
      <c r="J10" s="14" t="str">
        <f>IF(I10&gt;90,"A++",IF(I10&gt;80,"A+",IF(I10&gt;70,"A",IF(I10&gt;60,"B",IF(I10&gt;35,"C","F")))))</f>
        <v>C</v>
      </c>
      <c r="K10" s="14" t="str">
        <f>IF(J10="F","Fail","Pass")</f>
        <v>Pass</v>
      </c>
      <c r="L10" s="14"/>
      <c r="M10" s="14">
        <f t="shared" si="0"/>
        <v>188</v>
      </c>
      <c r="N10" s="14">
        <f t="shared" si="1"/>
        <v>37.6</v>
      </c>
      <c r="O10" s="14" t="str">
        <f t="shared" si="2"/>
        <v>F</v>
      </c>
      <c r="P10" s="14" t="str">
        <f t="shared" si="3"/>
        <v>Fail</v>
      </c>
    </row>
    <row r="11" spans="1:16" x14ac:dyDescent="0.3">
      <c r="A11" s="14">
        <v>16</v>
      </c>
      <c r="B11" s="14" t="s">
        <v>313</v>
      </c>
      <c r="C11" s="14">
        <v>39</v>
      </c>
      <c r="D11" s="14">
        <v>10</v>
      </c>
      <c r="E11" s="14">
        <v>27</v>
      </c>
      <c r="F11" s="14">
        <v>90</v>
      </c>
      <c r="G11" s="14">
        <v>34</v>
      </c>
      <c r="H11" s="14">
        <f>SUM(C11:G11)</f>
        <v>200</v>
      </c>
      <c r="I11" s="14">
        <f>AVERAGE(C11:G11)</f>
        <v>40</v>
      </c>
      <c r="J11" s="14" t="str">
        <f>IF(I11&gt;90,"A++",IF(I11&gt;80,"A+",IF(I11&gt;70,"A",IF(I11&gt;60,"B",IF(I11&gt;35,"C","F")))))</f>
        <v>C</v>
      </c>
      <c r="K11" s="14" t="str">
        <f>IF(J11="F","Fail","Pass")</f>
        <v>Pass</v>
      </c>
      <c r="L11" s="14"/>
      <c r="M11" s="14">
        <f t="shared" si="0"/>
        <v>200</v>
      </c>
      <c r="N11" s="14">
        <f t="shared" si="1"/>
        <v>40</v>
      </c>
      <c r="O11" s="14" t="str">
        <f t="shared" si="2"/>
        <v>F</v>
      </c>
      <c r="P11" s="14" t="str">
        <f t="shared" si="3"/>
        <v>Fail</v>
      </c>
    </row>
    <row r="12" spans="1:16" x14ac:dyDescent="0.3">
      <c r="A12" s="14">
        <v>34</v>
      </c>
      <c r="B12" s="14" t="s">
        <v>331</v>
      </c>
      <c r="C12" s="14">
        <v>53</v>
      </c>
      <c r="D12" s="14">
        <v>72</v>
      </c>
      <c r="E12" s="14">
        <v>31</v>
      </c>
      <c r="F12" s="14">
        <v>23</v>
      </c>
      <c r="G12" s="14">
        <v>21</v>
      </c>
      <c r="H12" s="14">
        <f>SUM(C12:G12)</f>
        <v>200</v>
      </c>
      <c r="I12" s="14">
        <f>AVERAGE(C12:G12)</f>
        <v>40</v>
      </c>
      <c r="J12" s="14" t="str">
        <f>IF(I12&gt;90,"A++",IF(I12&gt;80,"A+",IF(I12&gt;70,"A",IF(I12&gt;60,"B",IF(I12&gt;35,"C","F")))))</f>
        <v>C</v>
      </c>
      <c r="K12" s="14" t="str">
        <f>IF(J12="F","Fail","Pass")</f>
        <v>Pass</v>
      </c>
      <c r="L12" s="14"/>
      <c r="M12" s="14">
        <f t="shared" si="0"/>
        <v>200</v>
      </c>
      <c r="N12" s="14">
        <f t="shared" si="1"/>
        <v>40</v>
      </c>
      <c r="O12" s="14" t="str">
        <f t="shared" si="2"/>
        <v>F</v>
      </c>
      <c r="P12" s="14" t="str">
        <f t="shared" si="3"/>
        <v>Fail</v>
      </c>
    </row>
    <row r="13" spans="1:16" x14ac:dyDescent="0.3">
      <c r="A13" s="14">
        <v>7</v>
      </c>
      <c r="B13" s="14" t="s">
        <v>304</v>
      </c>
      <c r="C13" s="14">
        <v>18</v>
      </c>
      <c r="D13" s="14">
        <v>46</v>
      </c>
      <c r="E13" s="14">
        <v>51</v>
      </c>
      <c r="F13" s="14">
        <v>63</v>
      </c>
      <c r="G13" s="14">
        <v>22</v>
      </c>
      <c r="H13" s="14">
        <f>SUM(C13:G13)</f>
        <v>200</v>
      </c>
      <c r="I13" s="14">
        <f>AVERAGE(C13:G13)</f>
        <v>40</v>
      </c>
      <c r="J13" s="14" t="str">
        <f>IF(I13&gt;90,"A++",IF(I13&gt;80,"A+",IF(I13&gt;70,"A",IF(I13&gt;60,"B",IF(I13&gt;35,"C","F")))))</f>
        <v>C</v>
      </c>
      <c r="K13" s="14" t="str">
        <f>IF(J13="F","Fail","Pass")</f>
        <v>Pass</v>
      </c>
      <c r="L13" s="14"/>
      <c r="M13" s="14">
        <f t="shared" si="0"/>
        <v>200</v>
      </c>
      <c r="N13" s="14">
        <f t="shared" si="1"/>
        <v>40</v>
      </c>
      <c r="O13" s="14" t="str">
        <f t="shared" si="2"/>
        <v>F</v>
      </c>
      <c r="P13" s="14" t="str">
        <f t="shared" si="3"/>
        <v>Fail</v>
      </c>
    </row>
    <row r="14" spans="1:16" x14ac:dyDescent="0.3">
      <c r="A14" s="14">
        <v>38</v>
      </c>
      <c r="B14" s="14" t="s">
        <v>335</v>
      </c>
      <c r="C14" s="14">
        <v>33</v>
      </c>
      <c r="D14" s="14">
        <v>57</v>
      </c>
      <c r="E14" s="14">
        <v>12</v>
      </c>
      <c r="F14" s="14">
        <v>47</v>
      </c>
      <c r="G14" s="14">
        <v>54</v>
      </c>
      <c r="H14" s="14">
        <f>SUM(C14:G14)</f>
        <v>203</v>
      </c>
      <c r="I14" s="14">
        <f>AVERAGE(C14:G14)</f>
        <v>40.6</v>
      </c>
      <c r="J14" s="14" t="str">
        <f>IF(I14&gt;90,"A++",IF(I14&gt;80,"A+",IF(I14&gt;70,"A",IF(I14&gt;60,"B",IF(I14&gt;35,"C","F")))))</f>
        <v>C</v>
      </c>
      <c r="K14" s="14" t="str">
        <f>IF(J14="F","Fail","Pass")</f>
        <v>Pass</v>
      </c>
      <c r="L14" s="14"/>
      <c r="M14" s="14">
        <f t="shared" si="0"/>
        <v>203</v>
      </c>
      <c r="N14" s="14">
        <f t="shared" si="1"/>
        <v>40.6</v>
      </c>
      <c r="O14" s="14" t="str">
        <f t="shared" si="2"/>
        <v>F</v>
      </c>
      <c r="P14" s="14" t="str">
        <f t="shared" si="3"/>
        <v>Fail</v>
      </c>
    </row>
    <row r="15" spans="1:16" ht="28.8" x14ac:dyDescent="0.3">
      <c r="A15" s="14">
        <v>93</v>
      </c>
      <c r="B15" s="14" t="s">
        <v>390</v>
      </c>
      <c r="C15" s="14">
        <v>38</v>
      </c>
      <c r="D15" s="14">
        <v>16</v>
      </c>
      <c r="E15" s="14">
        <v>48</v>
      </c>
      <c r="F15" s="14">
        <v>48</v>
      </c>
      <c r="G15" s="14">
        <v>56</v>
      </c>
      <c r="H15" s="14">
        <f>SUM(C15:G15)</f>
        <v>206</v>
      </c>
      <c r="I15" s="14">
        <f>AVERAGE(C15:G15)</f>
        <v>41.2</v>
      </c>
      <c r="J15" s="14" t="str">
        <f>IF(I15&gt;90,"A++",IF(I15&gt;80,"A+",IF(I15&gt;70,"A",IF(I15&gt;60,"B",IF(I15&gt;35,"C","F")))))</f>
        <v>C</v>
      </c>
      <c r="K15" s="14" t="str">
        <f>IF(J15="F","Fail","Pass")</f>
        <v>Pass</v>
      </c>
      <c r="L15" s="14"/>
      <c r="M15" s="14">
        <f t="shared" si="0"/>
        <v>206</v>
      </c>
      <c r="N15" s="14">
        <f t="shared" si="1"/>
        <v>41.2</v>
      </c>
      <c r="O15" s="14" t="str">
        <f t="shared" si="2"/>
        <v>F</v>
      </c>
      <c r="P15" s="14" t="str">
        <f t="shared" si="3"/>
        <v>Fail</v>
      </c>
    </row>
    <row r="16" spans="1:16" x14ac:dyDescent="0.3">
      <c r="A16" s="14">
        <v>37</v>
      </c>
      <c r="B16" s="14" t="s">
        <v>334</v>
      </c>
      <c r="C16" s="14">
        <v>32</v>
      </c>
      <c r="D16" s="14">
        <v>99</v>
      </c>
      <c r="E16" s="14">
        <v>36</v>
      </c>
      <c r="F16" s="14">
        <v>16</v>
      </c>
      <c r="G16" s="14">
        <v>23</v>
      </c>
      <c r="H16" s="14">
        <f>SUM(C16:G16)</f>
        <v>206</v>
      </c>
      <c r="I16" s="14">
        <f>AVERAGE(C16:G16)</f>
        <v>41.2</v>
      </c>
      <c r="J16" s="14" t="str">
        <f>IF(I16&gt;90,"A++",IF(I16&gt;80,"A+",IF(I16&gt;70,"A",IF(I16&gt;60,"B",IF(I16&gt;35,"C","F")))))</f>
        <v>C</v>
      </c>
      <c r="K16" s="14" t="str">
        <f>IF(J16="F","Fail","Pass")</f>
        <v>Pass</v>
      </c>
      <c r="L16" s="14"/>
      <c r="M16" s="14">
        <f t="shared" si="0"/>
        <v>206</v>
      </c>
      <c r="N16" s="14">
        <f t="shared" si="1"/>
        <v>41.2</v>
      </c>
      <c r="O16" s="14" t="str">
        <f t="shared" si="2"/>
        <v>F</v>
      </c>
      <c r="P16" s="14" t="str">
        <f t="shared" si="3"/>
        <v>Fail</v>
      </c>
    </row>
    <row r="17" spans="1:16" ht="28.8" x14ac:dyDescent="0.3">
      <c r="A17" s="14">
        <v>44</v>
      </c>
      <c r="B17" s="14" t="s">
        <v>341</v>
      </c>
      <c r="C17" s="14">
        <v>47</v>
      </c>
      <c r="D17" s="14">
        <v>34</v>
      </c>
      <c r="E17" s="14">
        <v>51</v>
      </c>
      <c r="F17" s="14">
        <v>44</v>
      </c>
      <c r="G17" s="14">
        <v>30</v>
      </c>
      <c r="H17" s="14">
        <f>SUM(C17:G17)</f>
        <v>206</v>
      </c>
      <c r="I17" s="14">
        <f>AVERAGE(C17:G17)</f>
        <v>41.2</v>
      </c>
      <c r="J17" s="14" t="str">
        <f>IF(I17&gt;90,"A++",IF(I17&gt;80,"A+",IF(I17&gt;70,"A",IF(I17&gt;60,"B",IF(I17&gt;35,"C","F")))))</f>
        <v>C</v>
      </c>
      <c r="K17" s="14" t="str">
        <f>IF(J17="F","Fail","Pass")</f>
        <v>Pass</v>
      </c>
      <c r="L17" s="14"/>
      <c r="M17" s="14">
        <f t="shared" si="0"/>
        <v>206</v>
      </c>
      <c r="N17" s="14">
        <f t="shared" si="1"/>
        <v>41.2</v>
      </c>
      <c r="O17" s="14" t="str">
        <f t="shared" si="2"/>
        <v>F</v>
      </c>
      <c r="P17" s="14" t="str">
        <f t="shared" si="3"/>
        <v>Fail</v>
      </c>
    </row>
    <row r="18" spans="1:16" ht="28.8" x14ac:dyDescent="0.3">
      <c r="A18" s="14">
        <v>104</v>
      </c>
      <c r="B18" s="14" t="s">
        <v>401</v>
      </c>
      <c r="C18" s="14">
        <v>14</v>
      </c>
      <c r="D18" s="14">
        <v>35</v>
      </c>
      <c r="E18" s="14">
        <v>97</v>
      </c>
      <c r="F18" s="14">
        <v>18</v>
      </c>
      <c r="G18" s="14">
        <v>45</v>
      </c>
      <c r="H18" s="14">
        <f>SUM(C18:G18)</f>
        <v>209</v>
      </c>
      <c r="I18" s="14">
        <f>AVERAGE(C18:G18)</f>
        <v>41.8</v>
      </c>
      <c r="J18" s="14" t="str">
        <f>IF(I18&gt;90,"A++",IF(I18&gt;80,"A+",IF(I18&gt;70,"A",IF(I18&gt;60,"B",IF(I18&gt;35,"C","F")))))</f>
        <v>C</v>
      </c>
      <c r="K18" s="14" t="str">
        <f>IF(J18="F","Fail","Pass")</f>
        <v>Pass</v>
      </c>
      <c r="L18" s="14"/>
      <c r="M18" s="14">
        <f t="shared" si="0"/>
        <v>209</v>
      </c>
      <c r="N18" s="14">
        <f t="shared" si="1"/>
        <v>41.8</v>
      </c>
      <c r="O18" s="14" t="str">
        <f t="shared" si="2"/>
        <v>F</v>
      </c>
      <c r="P18" s="14" t="str">
        <f t="shared" si="3"/>
        <v>Fail</v>
      </c>
    </row>
    <row r="19" spans="1:16" ht="28.8" x14ac:dyDescent="0.3">
      <c r="A19" s="14">
        <v>86</v>
      </c>
      <c r="B19" s="14" t="s">
        <v>383</v>
      </c>
      <c r="C19" s="14">
        <v>48</v>
      </c>
      <c r="D19" s="14">
        <v>23</v>
      </c>
      <c r="E19" s="14">
        <v>78</v>
      </c>
      <c r="F19" s="14">
        <v>18</v>
      </c>
      <c r="G19" s="14">
        <v>45</v>
      </c>
      <c r="H19" s="14">
        <f>SUM(C19:G19)</f>
        <v>212</v>
      </c>
      <c r="I19" s="14">
        <f>AVERAGE(C19:G19)</f>
        <v>42.4</v>
      </c>
      <c r="J19" s="14" t="str">
        <f>IF(I19&gt;90,"A++",IF(I19&gt;80,"A+",IF(I19&gt;70,"A",IF(I19&gt;60,"B",IF(I19&gt;35,"C","F")))))</f>
        <v>C</v>
      </c>
      <c r="K19" s="14" t="str">
        <f>IF(J19="F","Fail","Pass")</f>
        <v>Pass</v>
      </c>
      <c r="L19" s="14"/>
      <c r="M19" s="14">
        <f t="shared" si="0"/>
        <v>212</v>
      </c>
      <c r="N19" s="14">
        <f t="shared" si="1"/>
        <v>42.4</v>
      </c>
      <c r="O19" s="14" t="str">
        <f t="shared" si="2"/>
        <v>F</v>
      </c>
      <c r="P19" s="14" t="str">
        <f t="shared" si="3"/>
        <v>Fail</v>
      </c>
    </row>
    <row r="20" spans="1:16" x14ac:dyDescent="0.3">
      <c r="A20" s="14">
        <v>18</v>
      </c>
      <c r="B20" s="14" t="s">
        <v>315</v>
      </c>
      <c r="C20" s="14">
        <v>30</v>
      </c>
      <c r="D20" s="14">
        <v>14</v>
      </c>
      <c r="E20" s="14">
        <v>33</v>
      </c>
      <c r="F20" s="14">
        <v>52</v>
      </c>
      <c r="G20" s="14">
        <v>84</v>
      </c>
      <c r="H20" s="14">
        <f>SUM(C20:G20)</f>
        <v>213</v>
      </c>
      <c r="I20" s="14">
        <f>AVERAGE(C20:G20)</f>
        <v>42.6</v>
      </c>
      <c r="J20" s="14" t="str">
        <f>IF(I20&gt;90,"A++",IF(I20&gt;80,"A+",IF(I20&gt;70,"A",IF(I20&gt;60,"B",IF(I20&gt;35,"C","F")))))</f>
        <v>C</v>
      </c>
      <c r="K20" s="14" t="str">
        <f>IF(J20="F","Fail","Pass")</f>
        <v>Pass</v>
      </c>
      <c r="L20" s="14"/>
      <c r="M20" s="14">
        <f t="shared" si="0"/>
        <v>213</v>
      </c>
      <c r="N20" s="14">
        <f t="shared" si="1"/>
        <v>42.6</v>
      </c>
      <c r="O20" s="14" t="str">
        <f t="shared" si="2"/>
        <v>F</v>
      </c>
      <c r="P20" s="14" t="str">
        <f t="shared" si="3"/>
        <v>Fail</v>
      </c>
    </row>
    <row r="21" spans="1:16" ht="28.8" x14ac:dyDescent="0.3">
      <c r="A21" s="14">
        <v>67</v>
      </c>
      <c r="B21" s="14" t="s">
        <v>364</v>
      </c>
      <c r="C21" s="14">
        <v>19</v>
      </c>
      <c r="D21" s="14">
        <v>43</v>
      </c>
      <c r="E21" s="14">
        <v>46</v>
      </c>
      <c r="F21" s="14">
        <v>11</v>
      </c>
      <c r="G21" s="14">
        <v>94</v>
      </c>
      <c r="H21" s="14">
        <f>SUM(C21:G21)</f>
        <v>213</v>
      </c>
      <c r="I21" s="14">
        <f>AVERAGE(C21:G21)</f>
        <v>42.6</v>
      </c>
      <c r="J21" s="14" t="str">
        <f>IF(I21&gt;90,"A++",IF(I21&gt;80,"A+",IF(I21&gt;70,"A",IF(I21&gt;60,"B",IF(I21&gt;35,"C","F")))))</f>
        <v>C</v>
      </c>
      <c r="K21" s="14" t="str">
        <f>IF(J21="F","Fail","Pass")</f>
        <v>Pass</v>
      </c>
      <c r="L21" s="14"/>
      <c r="M21" s="14">
        <f t="shared" si="0"/>
        <v>213</v>
      </c>
      <c r="N21" s="14">
        <f t="shared" si="1"/>
        <v>42.6</v>
      </c>
      <c r="O21" s="14" t="str">
        <f t="shared" si="2"/>
        <v>F</v>
      </c>
      <c r="P21" s="14" t="str">
        <f t="shared" si="3"/>
        <v>Fail</v>
      </c>
    </row>
    <row r="22" spans="1:16" x14ac:dyDescent="0.3">
      <c r="A22" s="14">
        <v>25</v>
      </c>
      <c r="B22" s="14" t="s">
        <v>322</v>
      </c>
      <c r="C22" s="14">
        <v>19</v>
      </c>
      <c r="D22" s="14">
        <v>32</v>
      </c>
      <c r="E22" s="14">
        <v>20</v>
      </c>
      <c r="F22" s="14">
        <v>62</v>
      </c>
      <c r="G22" s="14">
        <v>80</v>
      </c>
      <c r="H22" s="14">
        <f>SUM(C22:G22)</f>
        <v>213</v>
      </c>
      <c r="I22" s="14">
        <f>AVERAGE(C22:G22)</f>
        <v>42.6</v>
      </c>
      <c r="J22" s="14" t="str">
        <f>IF(I22&gt;90,"A++",IF(I22&gt;80,"A+",IF(I22&gt;70,"A",IF(I22&gt;60,"B",IF(I22&gt;35,"C","F")))))</f>
        <v>C</v>
      </c>
      <c r="K22" s="14" t="str">
        <f>IF(J22="F","Fail","Pass")</f>
        <v>Pass</v>
      </c>
      <c r="L22" s="14"/>
      <c r="M22" s="14">
        <f t="shared" si="0"/>
        <v>213</v>
      </c>
      <c r="N22" s="14">
        <f t="shared" si="1"/>
        <v>42.6</v>
      </c>
      <c r="O22" s="14" t="str">
        <f t="shared" si="2"/>
        <v>F</v>
      </c>
      <c r="P22" s="14" t="str">
        <f t="shared" si="3"/>
        <v>Fail</v>
      </c>
    </row>
    <row r="23" spans="1:16" ht="43.2" x14ac:dyDescent="0.3">
      <c r="A23" s="14">
        <v>114</v>
      </c>
      <c r="B23" s="14" t="s">
        <v>411</v>
      </c>
      <c r="C23" s="14">
        <v>27</v>
      </c>
      <c r="D23" s="14">
        <v>43</v>
      </c>
      <c r="E23" s="14">
        <v>55</v>
      </c>
      <c r="F23" s="14">
        <v>64</v>
      </c>
      <c r="G23" s="14">
        <v>28</v>
      </c>
      <c r="H23" s="14">
        <f>SUM(C23:G23)</f>
        <v>217</v>
      </c>
      <c r="I23" s="14">
        <f>AVERAGE(C23:G23)</f>
        <v>43.4</v>
      </c>
      <c r="J23" s="14" t="str">
        <f>IF(I23&gt;90,"A++",IF(I23&gt;80,"A+",IF(I23&gt;70,"A",IF(I23&gt;60,"B",IF(I23&gt;35,"C","F")))))</f>
        <v>C</v>
      </c>
      <c r="K23" s="14" t="str">
        <f>IF(J23="F","Fail","Pass")</f>
        <v>Pass</v>
      </c>
      <c r="L23" s="14"/>
      <c r="M23" s="14">
        <f t="shared" si="0"/>
        <v>217</v>
      </c>
      <c r="N23" s="14">
        <f t="shared" si="1"/>
        <v>43.4</v>
      </c>
      <c r="O23" s="14" t="str">
        <f t="shared" si="2"/>
        <v>F</v>
      </c>
      <c r="P23" s="14" t="str">
        <f t="shared" si="3"/>
        <v>Fail</v>
      </c>
    </row>
    <row r="24" spans="1:16" x14ac:dyDescent="0.3">
      <c r="A24" s="14">
        <v>54</v>
      </c>
      <c r="B24" s="14" t="s">
        <v>351</v>
      </c>
      <c r="C24" s="14">
        <v>54</v>
      </c>
      <c r="D24" s="14">
        <v>39</v>
      </c>
      <c r="E24" s="14">
        <v>36</v>
      </c>
      <c r="F24" s="14">
        <v>35</v>
      </c>
      <c r="G24" s="14">
        <v>53</v>
      </c>
      <c r="H24" s="14">
        <f>SUM(C24:G24)</f>
        <v>217</v>
      </c>
      <c r="I24" s="14">
        <f>AVERAGE(C24:G24)</f>
        <v>43.4</v>
      </c>
      <c r="J24" s="14" t="str">
        <f>IF(I24&gt;90,"A++",IF(I24&gt;80,"A+",IF(I24&gt;70,"A",IF(I24&gt;60,"B",IF(I24&gt;35,"C","F")))))</f>
        <v>C</v>
      </c>
      <c r="K24" s="14" t="str">
        <f>IF(J24="F","Fail","Pass")</f>
        <v>Pass</v>
      </c>
      <c r="L24" s="14"/>
      <c r="M24" s="14">
        <f t="shared" si="0"/>
        <v>217</v>
      </c>
      <c r="N24" s="14">
        <f t="shared" si="1"/>
        <v>43.4</v>
      </c>
      <c r="O24" s="14" t="str">
        <f t="shared" si="2"/>
        <v>F</v>
      </c>
      <c r="P24" s="14" t="str">
        <f t="shared" si="3"/>
        <v>Fail</v>
      </c>
    </row>
    <row r="25" spans="1:16" ht="28.8" x14ac:dyDescent="0.3">
      <c r="A25" s="14">
        <v>112</v>
      </c>
      <c r="B25" s="14" t="s">
        <v>409</v>
      </c>
      <c r="C25" s="14">
        <v>19</v>
      </c>
      <c r="D25" s="14">
        <v>39</v>
      </c>
      <c r="E25" s="14">
        <v>48</v>
      </c>
      <c r="F25" s="14">
        <v>80</v>
      </c>
      <c r="G25" s="14">
        <v>36</v>
      </c>
      <c r="H25" s="14">
        <f>SUM(C25:G25)</f>
        <v>222</v>
      </c>
      <c r="I25" s="14">
        <f>AVERAGE(C25:G25)</f>
        <v>44.4</v>
      </c>
      <c r="J25" s="14" t="str">
        <f>IF(I25&gt;90,"A++",IF(I25&gt;80,"A+",IF(I25&gt;70,"A",IF(I25&gt;60,"B",IF(I25&gt;35,"C","F")))))</f>
        <v>C</v>
      </c>
      <c r="K25" s="14" t="str">
        <f>IF(J25="F","Fail","Pass")</f>
        <v>Pass</v>
      </c>
      <c r="L25" s="14"/>
      <c r="M25" s="14">
        <f t="shared" si="0"/>
        <v>222</v>
      </c>
      <c r="N25" s="14">
        <f t="shared" si="1"/>
        <v>44.4</v>
      </c>
      <c r="O25" s="14" t="str">
        <f t="shared" si="2"/>
        <v>F</v>
      </c>
      <c r="P25" s="14" t="str">
        <f t="shared" si="3"/>
        <v>Fail</v>
      </c>
    </row>
    <row r="26" spans="1:16" x14ac:dyDescent="0.3">
      <c r="A26" s="14">
        <v>4</v>
      </c>
      <c r="B26" s="14" t="s">
        <v>301</v>
      </c>
      <c r="C26" s="14">
        <v>76</v>
      </c>
      <c r="D26" s="14">
        <v>68</v>
      </c>
      <c r="E26" s="14">
        <v>46</v>
      </c>
      <c r="F26" s="14">
        <v>11</v>
      </c>
      <c r="G26" s="14">
        <v>22</v>
      </c>
      <c r="H26" s="14">
        <f>SUM(C26:G26)</f>
        <v>223</v>
      </c>
      <c r="I26" s="14">
        <f>AVERAGE(C26:G26)</f>
        <v>44.6</v>
      </c>
      <c r="J26" s="14" t="str">
        <f>IF(I26&gt;90,"A++",IF(I26&gt;80,"A+",IF(I26&gt;70,"A",IF(I26&gt;60,"B",IF(I26&gt;35,"C","F")))))</f>
        <v>C</v>
      </c>
      <c r="K26" s="14" t="str">
        <f>IF(J26="F","Fail","Pass")</f>
        <v>Pass</v>
      </c>
      <c r="L26" s="14"/>
      <c r="M26" s="14">
        <f t="shared" si="0"/>
        <v>223</v>
      </c>
      <c r="N26" s="14">
        <f t="shared" si="1"/>
        <v>44.6</v>
      </c>
      <c r="O26" s="14" t="str">
        <f t="shared" si="2"/>
        <v>F</v>
      </c>
      <c r="P26" s="14" t="str">
        <f t="shared" si="3"/>
        <v>Fail</v>
      </c>
    </row>
    <row r="27" spans="1:16" ht="28.8" x14ac:dyDescent="0.3">
      <c r="A27" s="14">
        <v>58</v>
      </c>
      <c r="B27" s="14" t="s">
        <v>355</v>
      </c>
      <c r="C27" s="14">
        <v>42</v>
      </c>
      <c r="D27" s="14">
        <v>31</v>
      </c>
      <c r="E27" s="14">
        <v>67</v>
      </c>
      <c r="F27" s="14">
        <v>71</v>
      </c>
      <c r="G27" s="14">
        <v>12</v>
      </c>
      <c r="H27" s="14">
        <f>SUM(C27:G27)</f>
        <v>223</v>
      </c>
      <c r="I27" s="14">
        <f>AVERAGE(C27:G27)</f>
        <v>44.6</v>
      </c>
      <c r="J27" s="14" t="str">
        <f>IF(I27&gt;90,"A++",IF(I27&gt;80,"A+",IF(I27&gt;70,"A",IF(I27&gt;60,"B",IF(I27&gt;35,"C","F")))))</f>
        <v>C</v>
      </c>
      <c r="K27" s="14" t="str">
        <f>IF(J27="F","Fail","Pass")</f>
        <v>Pass</v>
      </c>
      <c r="L27" s="14"/>
      <c r="M27" s="14">
        <f t="shared" si="0"/>
        <v>223</v>
      </c>
      <c r="N27" s="14">
        <f t="shared" si="1"/>
        <v>44.6</v>
      </c>
      <c r="O27" s="14" t="str">
        <f t="shared" si="2"/>
        <v>F</v>
      </c>
      <c r="P27" s="14" t="str">
        <f t="shared" si="3"/>
        <v>Fail</v>
      </c>
    </row>
    <row r="28" spans="1:16" x14ac:dyDescent="0.3">
      <c r="A28" s="14">
        <v>3</v>
      </c>
      <c r="B28" s="14" t="s">
        <v>300</v>
      </c>
      <c r="C28" s="14">
        <v>19</v>
      </c>
      <c r="D28" s="14">
        <v>72</v>
      </c>
      <c r="E28" s="14">
        <v>41</v>
      </c>
      <c r="F28" s="14">
        <v>53</v>
      </c>
      <c r="G28" s="14">
        <v>40</v>
      </c>
      <c r="H28" s="14">
        <f>SUM(C28:G28)</f>
        <v>225</v>
      </c>
      <c r="I28" s="14">
        <f>AVERAGE(C28:G28)</f>
        <v>45</v>
      </c>
      <c r="J28" s="14" t="str">
        <f>IF(I28&gt;90,"A++",IF(I28&gt;80,"A+",IF(I28&gt;70,"A",IF(I28&gt;60,"B",IF(I28&gt;35,"C","F")))))</f>
        <v>C</v>
      </c>
      <c r="K28" s="14" t="str">
        <f>IF(J28="F","Fail","Pass")</f>
        <v>Pass</v>
      </c>
      <c r="L28" s="14"/>
      <c r="M28" s="14">
        <f t="shared" si="0"/>
        <v>225</v>
      </c>
      <c r="N28" s="14">
        <f t="shared" si="1"/>
        <v>45</v>
      </c>
      <c r="O28" s="14" t="str">
        <f t="shared" si="2"/>
        <v>F</v>
      </c>
      <c r="P28" s="14" t="str">
        <f t="shared" si="3"/>
        <v>Fail</v>
      </c>
    </row>
    <row r="29" spans="1:16" x14ac:dyDescent="0.3">
      <c r="A29" s="14">
        <v>29</v>
      </c>
      <c r="B29" s="14" t="s">
        <v>326</v>
      </c>
      <c r="C29" s="14">
        <v>67</v>
      </c>
      <c r="D29" s="14">
        <v>17</v>
      </c>
      <c r="E29" s="14">
        <v>22</v>
      </c>
      <c r="F29" s="14">
        <v>66</v>
      </c>
      <c r="G29" s="14">
        <v>54</v>
      </c>
      <c r="H29" s="14">
        <f>SUM(C29:G29)</f>
        <v>226</v>
      </c>
      <c r="I29" s="14">
        <f>AVERAGE(C29:G29)</f>
        <v>45.2</v>
      </c>
      <c r="J29" s="14" t="str">
        <f>IF(I29&gt;90,"A++",IF(I29&gt;80,"A+",IF(I29&gt;70,"A",IF(I29&gt;60,"B",IF(I29&gt;35,"C","F")))))</f>
        <v>C</v>
      </c>
      <c r="K29" s="14" t="str">
        <f>IF(J29="F","Fail","Pass")</f>
        <v>Pass</v>
      </c>
      <c r="L29" s="14"/>
      <c r="M29" s="14">
        <f t="shared" si="0"/>
        <v>226</v>
      </c>
      <c r="N29" s="14">
        <f t="shared" si="1"/>
        <v>45.2</v>
      </c>
      <c r="O29" s="14" t="str">
        <f t="shared" si="2"/>
        <v>F</v>
      </c>
      <c r="P29" s="14" t="str">
        <f t="shared" si="3"/>
        <v>Fail</v>
      </c>
    </row>
    <row r="30" spans="1:16" ht="28.8" x14ac:dyDescent="0.3">
      <c r="A30" s="14">
        <v>92</v>
      </c>
      <c r="B30" s="14" t="s">
        <v>389</v>
      </c>
      <c r="C30" s="14">
        <v>79</v>
      </c>
      <c r="D30" s="14">
        <v>29</v>
      </c>
      <c r="E30" s="14">
        <v>45</v>
      </c>
      <c r="F30" s="14">
        <v>45</v>
      </c>
      <c r="G30" s="14">
        <v>28</v>
      </c>
      <c r="H30" s="14">
        <f>SUM(C30:G30)</f>
        <v>226</v>
      </c>
      <c r="I30" s="14">
        <f>AVERAGE(C30:G30)</f>
        <v>45.2</v>
      </c>
      <c r="J30" s="14" t="str">
        <f>IF(I30&gt;90,"A++",IF(I30&gt;80,"A+",IF(I30&gt;70,"A",IF(I30&gt;60,"B",IF(I30&gt;35,"C","F")))))</f>
        <v>C</v>
      </c>
      <c r="K30" s="14" t="str">
        <f>IF(J30="F","Fail","Pass")</f>
        <v>Pass</v>
      </c>
      <c r="L30" s="14"/>
      <c r="M30" s="14">
        <f t="shared" si="0"/>
        <v>226</v>
      </c>
      <c r="N30" s="14">
        <f t="shared" si="1"/>
        <v>45.2</v>
      </c>
      <c r="O30" s="14" t="str">
        <f t="shared" si="2"/>
        <v>F</v>
      </c>
      <c r="P30" s="14" t="str">
        <f t="shared" si="3"/>
        <v>Fail</v>
      </c>
    </row>
    <row r="31" spans="1:16" ht="28.8" x14ac:dyDescent="0.3">
      <c r="A31" s="14">
        <v>88</v>
      </c>
      <c r="B31" s="14" t="s">
        <v>385</v>
      </c>
      <c r="C31" s="14">
        <v>16</v>
      </c>
      <c r="D31" s="14">
        <v>70</v>
      </c>
      <c r="E31" s="14">
        <v>46</v>
      </c>
      <c r="F31" s="14">
        <v>19</v>
      </c>
      <c r="G31" s="14">
        <v>76</v>
      </c>
      <c r="H31" s="14">
        <f>SUM(C31:G31)</f>
        <v>227</v>
      </c>
      <c r="I31" s="14">
        <f>AVERAGE(C31:G31)</f>
        <v>45.4</v>
      </c>
      <c r="J31" s="14" t="str">
        <f>IF(I31&gt;90,"A++",IF(I31&gt;80,"A+",IF(I31&gt;70,"A",IF(I31&gt;60,"B",IF(I31&gt;35,"C","F")))))</f>
        <v>C</v>
      </c>
      <c r="K31" s="14" t="str">
        <f>IF(J31="F","Fail","Pass")</f>
        <v>Pass</v>
      </c>
      <c r="L31" s="14"/>
      <c r="M31" s="14">
        <f t="shared" si="0"/>
        <v>227</v>
      </c>
      <c r="N31" s="14">
        <f t="shared" si="1"/>
        <v>45.4</v>
      </c>
      <c r="O31" s="14" t="str">
        <f t="shared" si="2"/>
        <v>F</v>
      </c>
      <c r="P31" s="14" t="str">
        <f t="shared" si="3"/>
        <v>Fail</v>
      </c>
    </row>
    <row r="32" spans="1:16" x14ac:dyDescent="0.3">
      <c r="A32" s="14">
        <v>1</v>
      </c>
      <c r="B32" s="14" t="s">
        <v>298</v>
      </c>
      <c r="C32" s="14">
        <v>97</v>
      </c>
      <c r="D32" s="14">
        <v>36</v>
      </c>
      <c r="E32" s="14">
        <v>47</v>
      </c>
      <c r="F32" s="14">
        <v>13</v>
      </c>
      <c r="G32" s="14">
        <v>34</v>
      </c>
      <c r="H32" s="14">
        <f>SUM(C32:G32)</f>
        <v>227</v>
      </c>
      <c r="I32" s="14">
        <f>AVERAGE(C32:G32)</f>
        <v>45.4</v>
      </c>
      <c r="J32" s="14" t="str">
        <f>IF(I32&gt;90,"A++",IF(I32&gt;80,"A+",IF(I32&gt;70,"A",IF(I32&gt;60,"B",IF(I32&gt;35,"C","F")))))</f>
        <v>C</v>
      </c>
      <c r="K32" s="14" t="str">
        <f>IF(J32="F","Fail","Pass")</f>
        <v>Pass</v>
      </c>
      <c r="L32" s="14"/>
      <c r="M32" s="14">
        <f t="shared" si="0"/>
        <v>227</v>
      </c>
      <c r="N32" s="14">
        <f t="shared" si="1"/>
        <v>45.4</v>
      </c>
      <c r="O32" s="14" t="str">
        <f t="shared" si="2"/>
        <v>F</v>
      </c>
      <c r="P32" s="14" t="str">
        <f t="shared" si="3"/>
        <v>Fail</v>
      </c>
    </row>
    <row r="33" spans="1:16" ht="28.8" x14ac:dyDescent="0.3">
      <c r="A33" s="14">
        <v>65</v>
      </c>
      <c r="B33" s="14" t="s">
        <v>362</v>
      </c>
      <c r="C33" s="14">
        <v>21</v>
      </c>
      <c r="D33" s="14">
        <v>60</v>
      </c>
      <c r="E33" s="14">
        <v>13</v>
      </c>
      <c r="F33" s="14">
        <v>39</v>
      </c>
      <c r="G33" s="14">
        <v>96</v>
      </c>
      <c r="H33" s="14">
        <f>SUM(C33:G33)</f>
        <v>229</v>
      </c>
      <c r="I33" s="14">
        <f>AVERAGE(C33:G33)</f>
        <v>45.8</v>
      </c>
      <c r="J33" s="14" t="str">
        <f>IF(I33&gt;90,"A++",IF(I33&gt;80,"A+",IF(I33&gt;70,"A",IF(I33&gt;60,"B",IF(I33&gt;35,"C","F")))))</f>
        <v>C</v>
      </c>
      <c r="K33" s="14" t="str">
        <f>IF(J33="F","Fail","Pass")</f>
        <v>Pass</v>
      </c>
      <c r="L33" s="14"/>
      <c r="M33" s="14">
        <f t="shared" si="0"/>
        <v>229</v>
      </c>
      <c r="N33" s="14">
        <f t="shared" si="1"/>
        <v>45.8</v>
      </c>
      <c r="O33" s="14" t="str">
        <f t="shared" si="2"/>
        <v>F</v>
      </c>
      <c r="P33" s="14" t="str">
        <f t="shared" si="3"/>
        <v>Fail</v>
      </c>
    </row>
    <row r="34" spans="1:16" ht="28.8" x14ac:dyDescent="0.3">
      <c r="A34" s="14">
        <v>60</v>
      </c>
      <c r="B34" s="14" t="s">
        <v>357</v>
      </c>
      <c r="C34" s="14">
        <v>14</v>
      </c>
      <c r="D34" s="14">
        <v>69</v>
      </c>
      <c r="E34" s="14">
        <v>81</v>
      </c>
      <c r="F34" s="14">
        <v>15</v>
      </c>
      <c r="G34" s="14">
        <v>51</v>
      </c>
      <c r="H34" s="14">
        <f>SUM(C34:G34)</f>
        <v>230</v>
      </c>
      <c r="I34" s="14">
        <f>AVERAGE(C34:G34)</f>
        <v>46</v>
      </c>
      <c r="J34" s="14" t="str">
        <f>IF(I34&gt;90,"A++",IF(I34&gt;80,"A+",IF(I34&gt;70,"A",IF(I34&gt;60,"B",IF(I34&gt;35,"C","F")))))</f>
        <v>C</v>
      </c>
      <c r="K34" s="14" t="str">
        <f>IF(J34="F","Fail","Pass")</f>
        <v>Pass</v>
      </c>
      <c r="L34" s="14"/>
      <c r="M34" s="14">
        <f t="shared" si="0"/>
        <v>230</v>
      </c>
      <c r="N34" s="14">
        <f t="shared" si="1"/>
        <v>46</v>
      </c>
      <c r="O34" s="14" t="str">
        <f t="shared" si="2"/>
        <v>F</v>
      </c>
      <c r="P34" s="14" t="str">
        <f t="shared" si="3"/>
        <v>Fail</v>
      </c>
    </row>
    <row r="35" spans="1:16" x14ac:dyDescent="0.3">
      <c r="A35" s="14">
        <v>30</v>
      </c>
      <c r="B35" s="14" t="s">
        <v>327</v>
      </c>
      <c r="C35" s="14">
        <v>25</v>
      </c>
      <c r="D35" s="14">
        <v>29</v>
      </c>
      <c r="E35" s="14">
        <v>95</v>
      </c>
      <c r="F35" s="14">
        <v>71</v>
      </c>
      <c r="G35" s="14">
        <v>10</v>
      </c>
      <c r="H35" s="14">
        <f>SUM(C35:G35)</f>
        <v>230</v>
      </c>
      <c r="I35" s="14">
        <f>AVERAGE(C35:G35)</f>
        <v>46</v>
      </c>
      <c r="J35" s="14" t="str">
        <f>IF(I35&gt;90,"A++",IF(I35&gt;80,"A+",IF(I35&gt;70,"A",IF(I35&gt;60,"B",IF(I35&gt;35,"C","F")))))</f>
        <v>C</v>
      </c>
      <c r="K35" s="14" t="str">
        <f>IF(J35="F","Fail","Pass")</f>
        <v>Pass</v>
      </c>
      <c r="L35" s="14"/>
      <c r="M35" s="14">
        <f t="shared" si="0"/>
        <v>230</v>
      </c>
      <c r="N35" s="14">
        <f t="shared" si="1"/>
        <v>46</v>
      </c>
      <c r="O35" s="14" t="str">
        <f t="shared" si="2"/>
        <v>F</v>
      </c>
      <c r="P35" s="14" t="str">
        <f t="shared" si="3"/>
        <v>Fail</v>
      </c>
    </row>
    <row r="36" spans="1:16" ht="28.8" x14ac:dyDescent="0.3">
      <c r="A36" s="14">
        <v>46</v>
      </c>
      <c r="B36" s="14" t="s">
        <v>343</v>
      </c>
      <c r="C36" s="14">
        <v>31</v>
      </c>
      <c r="D36" s="14">
        <v>32</v>
      </c>
      <c r="E36" s="14">
        <v>100</v>
      </c>
      <c r="F36" s="14">
        <v>18</v>
      </c>
      <c r="G36" s="14">
        <v>52</v>
      </c>
      <c r="H36" s="14">
        <f>SUM(C36:G36)</f>
        <v>233</v>
      </c>
      <c r="I36" s="14">
        <f>AVERAGE(C36:G36)</f>
        <v>46.6</v>
      </c>
      <c r="J36" s="14" t="str">
        <f>IF(I36&gt;90,"A++",IF(I36&gt;80,"A+",IF(I36&gt;70,"A",IF(I36&gt;60,"B",IF(I36&gt;35,"C","F")))))</f>
        <v>C</v>
      </c>
      <c r="K36" s="14" t="str">
        <f>IF(J36="F","Fail","Pass")</f>
        <v>Pass</v>
      </c>
      <c r="L36" s="14"/>
      <c r="M36" s="14">
        <f t="shared" si="0"/>
        <v>233</v>
      </c>
      <c r="N36" s="14">
        <f t="shared" si="1"/>
        <v>46.6</v>
      </c>
      <c r="O36" s="14" t="str">
        <f t="shared" si="2"/>
        <v>F</v>
      </c>
      <c r="P36" s="14" t="str">
        <f t="shared" si="3"/>
        <v>Fail</v>
      </c>
    </row>
    <row r="37" spans="1:16" x14ac:dyDescent="0.3">
      <c r="A37" s="14">
        <v>36</v>
      </c>
      <c r="B37" s="14" t="s">
        <v>333</v>
      </c>
      <c r="C37" s="14">
        <v>12</v>
      </c>
      <c r="D37" s="14">
        <v>89</v>
      </c>
      <c r="E37" s="14">
        <v>39</v>
      </c>
      <c r="F37" s="14">
        <v>78</v>
      </c>
      <c r="G37" s="14">
        <v>16</v>
      </c>
      <c r="H37" s="14">
        <f>SUM(C37:G37)</f>
        <v>234</v>
      </c>
      <c r="I37" s="14">
        <f>AVERAGE(C37:G37)</f>
        <v>46.8</v>
      </c>
      <c r="J37" s="14" t="str">
        <f>IF(I37&gt;90,"A++",IF(I37&gt;80,"A+",IF(I37&gt;70,"A",IF(I37&gt;60,"B",IF(I37&gt;35,"C","F")))))</f>
        <v>C</v>
      </c>
      <c r="K37" s="14" t="str">
        <f>IF(J37="F","Fail","Pass")</f>
        <v>Pass</v>
      </c>
      <c r="L37" s="14"/>
      <c r="M37" s="14">
        <f t="shared" si="0"/>
        <v>234</v>
      </c>
      <c r="N37" s="14">
        <f t="shared" si="1"/>
        <v>46.8</v>
      </c>
      <c r="O37" s="14" t="str">
        <f t="shared" si="2"/>
        <v>F</v>
      </c>
      <c r="P37" s="14" t="str">
        <f t="shared" si="3"/>
        <v>Fail</v>
      </c>
    </row>
    <row r="38" spans="1:16" x14ac:dyDescent="0.3">
      <c r="A38" s="14">
        <v>35</v>
      </c>
      <c r="B38" s="14" t="s">
        <v>332</v>
      </c>
      <c r="C38" s="14">
        <v>10</v>
      </c>
      <c r="D38" s="14">
        <v>23</v>
      </c>
      <c r="E38" s="14">
        <v>76</v>
      </c>
      <c r="F38" s="14">
        <v>77</v>
      </c>
      <c r="G38" s="14">
        <v>49</v>
      </c>
      <c r="H38" s="14">
        <f>SUM(C38:G38)</f>
        <v>235</v>
      </c>
      <c r="I38" s="14">
        <f>AVERAGE(C38:G38)</f>
        <v>47</v>
      </c>
      <c r="J38" s="14" t="str">
        <f>IF(I38&gt;90,"A++",IF(I38&gt;80,"A+",IF(I38&gt;70,"A",IF(I38&gt;60,"B",IF(I38&gt;35,"C","F")))))</f>
        <v>C</v>
      </c>
      <c r="K38" s="14" t="str">
        <f>IF(J38="F","Fail","Pass")</f>
        <v>Pass</v>
      </c>
      <c r="L38" s="14"/>
      <c r="M38" s="14">
        <f t="shared" si="0"/>
        <v>235</v>
      </c>
      <c r="N38" s="14">
        <f t="shared" si="1"/>
        <v>47</v>
      </c>
      <c r="O38" s="14" t="str">
        <f t="shared" si="2"/>
        <v>F</v>
      </c>
      <c r="P38" s="14" t="str">
        <f t="shared" si="3"/>
        <v>Fail</v>
      </c>
    </row>
    <row r="39" spans="1:16" ht="28.8" x14ac:dyDescent="0.3">
      <c r="A39" s="14">
        <v>61</v>
      </c>
      <c r="B39" s="14" t="s">
        <v>358</v>
      </c>
      <c r="C39" s="14">
        <v>26</v>
      </c>
      <c r="D39" s="14">
        <v>76</v>
      </c>
      <c r="E39" s="14">
        <v>49</v>
      </c>
      <c r="F39" s="14">
        <v>74</v>
      </c>
      <c r="G39" s="14">
        <v>11</v>
      </c>
      <c r="H39" s="14">
        <f>SUM(C39:G39)</f>
        <v>236</v>
      </c>
      <c r="I39" s="14">
        <f>AVERAGE(C39:G39)</f>
        <v>47.2</v>
      </c>
      <c r="J39" s="14" t="str">
        <f>IF(I39&gt;90,"A++",IF(I39&gt;80,"A+",IF(I39&gt;70,"A",IF(I39&gt;60,"B",IF(I39&gt;35,"C","F")))))</f>
        <v>C</v>
      </c>
      <c r="K39" s="14" t="str">
        <f>IF(J39="F","Fail","Pass")</f>
        <v>Pass</v>
      </c>
      <c r="L39" s="14"/>
      <c r="M39" s="14">
        <f t="shared" si="0"/>
        <v>236</v>
      </c>
      <c r="N39" s="14">
        <f t="shared" si="1"/>
        <v>47.2</v>
      </c>
      <c r="O39" s="14" t="str">
        <f t="shared" si="2"/>
        <v>F</v>
      </c>
      <c r="P39" s="14" t="str">
        <f t="shared" si="3"/>
        <v>Fail</v>
      </c>
    </row>
    <row r="40" spans="1:16" ht="28.8" x14ac:dyDescent="0.3">
      <c r="A40" s="14">
        <v>108</v>
      </c>
      <c r="B40" s="14" t="s">
        <v>405</v>
      </c>
      <c r="C40" s="14">
        <v>100</v>
      </c>
      <c r="D40" s="14">
        <v>13</v>
      </c>
      <c r="E40" s="14">
        <v>24</v>
      </c>
      <c r="F40" s="14">
        <v>45</v>
      </c>
      <c r="G40" s="14">
        <v>56</v>
      </c>
      <c r="H40" s="14">
        <f>SUM(C40:G40)</f>
        <v>238</v>
      </c>
      <c r="I40" s="14">
        <f>AVERAGE(C40:G40)</f>
        <v>47.6</v>
      </c>
      <c r="J40" s="14" t="str">
        <f>IF(I40&gt;90,"A++",IF(I40&gt;80,"A+",IF(I40&gt;70,"A",IF(I40&gt;60,"B",IF(I40&gt;35,"C","F")))))</f>
        <v>C</v>
      </c>
      <c r="K40" s="14" t="str">
        <f>IF(J40="F","Fail","Pass")</f>
        <v>Pass</v>
      </c>
      <c r="L40" s="14"/>
      <c r="M40" s="14">
        <f t="shared" si="0"/>
        <v>238</v>
      </c>
      <c r="N40" s="14">
        <f t="shared" si="1"/>
        <v>47.6</v>
      </c>
      <c r="O40" s="14" t="str">
        <f t="shared" si="2"/>
        <v>F</v>
      </c>
      <c r="P40" s="14" t="str">
        <f t="shared" si="3"/>
        <v>Fail</v>
      </c>
    </row>
    <row r="41" spans="1:16" ht="28.8" x14ac:dyDescent="0.3">
      <c r="A41" s="14">
        <v>95</v>
      </c>
      <c r="B41" s="14" t="s">
        <v>392</v>
      </c>
      <c r="C41" s="14">
        <v>93</v>
      </c>
      <c r="D41" s="14">
        <v>17</v>
      </c>
      <c r="E41" s="14">
        <v>95</v>
      </c>
      <c r="F41" s="14">
        <v>13</v>
      </c>
      <c r="G41" s="14">
        <v>20</v>
      </c>
      <c r="H41" s="14">
        <f>SUM(C41:G41)</f>
        <v>238</v>
      </c>
      <c r="I41" s="14">
        <f>AVERAGE(C41:G41)</f>
        <v>47.6</v>
      </c>
      <c r="J41" s="14" t="str">
        <f>IF(I41&gt;90,"A++",IF(I41&gt;80,"A+",IF(I41&gt;70,"A",IF(I41&gt;60,"B",IF(I41&gt;35,"C","F")))))</f>
        <v>C</v>
      </c>
      <c r="K41" s="14" t="str">
        <f>IF(J41="F","Fail","Pass")</f>
        <v>Pass</v>
      </c>
      <c r="L41" s="14"/>
      <c r="M41" s="14">
        <f t="shared" si="0"/>
        <v>238</v>
      </c>
      <c r="N41" s="14">
        <f t="shared" si="1"/>
        <v>47.6</v>
      </c>
      <c r="O41" s="14" t="str">
        <f t="shared" si="2"/>
        <v>F</v>
      </c>
      <c r="P41" s="14" t="str">
        <f t="shared" si="3"/>
        <v>Fail</v>
      </c>
    </row>
    <row r="42" spans="1:16" ht="28.8" x14ac:dyDescent="0.3">
      <c r="A42" s="14">
        <v>64</v>
      </c>
      <c r="B42" s="14" t="s">
        <v>361</v>
      </c>
      <c r="C42" s="14">
        <v>56</v>
      </c>
      <c r="D42" s="14">
        <v>88</v>
      </c>
      <c r="E42" s="14">
        <v>47</v>
      </c>
      <c r="F42" s="14">
        <v>22</v>
      </c>
      <c r="G42" s="14">
        <v>27</v>
      </c>
      <c r="H42" s="14">
        <f>SUM(C42:G42)</f>
        <v>240</v>
      </c>
      <c r="I42" s="14">
        <f>AVERAGE(C42:G42)</f>
        <v>48</v>
      </c>
      <c r="J42" s="14" t="str">
        <f>IF(I42&gt;90,"A++",IF(I42&gt;80,"A+",IF(I42&gt;70,"A",IF(I42&gt;60,"B",IF(I42&gt;35,"C","F")))))</f>
        <v>C</v>
      </c>
      <c r="K42" s="14" t="str">
        <f>IF(J42="F","Fail","Pass")</f>
        <v>Pass</v>
      </c>
      <c r="L42" s="14"/>
      <c r="M42" s="14">
        <f t="shared" si="0"/>
        <v>240</v>
      </c>
      <c r="N42" s="14">
        <f t="shared" si="1"/>
        <v>48</v>
      </c>
      <c r="O42" s="14" t="str">
        <f t="shared" si="2"/>
        <v>F</v>
      </c>
      <c r="P42" s="14" t="str">
        <f t="shared" si="3"/>
        <v>Fail</v>
      </c>
    </row>
    <row r="43" spans="1:16" ht="28.8" x14ac:dyDescent="0.3">
      <c r="A43" s="14">
        <v>81</v>
      </c>
      <c r="B43" s="14" t="s">
        <v>378</v>
      </c>
      <c r="C43" s="14">
        <v>21</v>
      </c>
      <c r="D43" s="14">
        <v>89</v>
      </c>
      <c r="E43" s="14">
        <v>52</v>
      </c>
      <c r="F43" s="14">
        <v>50</v>
      </c>
      <c r="G43" s="14">
        <v>29</v>
      </c>
      <c r="H43" s="14">
        <f>SUM(C43:G43)</f>
        <v>241</v>
      </c>
      <c r="I43" s="14">
        <f>AVERAGE(C43:G43)</f>
        <v>48.2</v>
      </c>
      <c r="J43" s="14" t="str">
        <f>IF(I43&gt;90,"A++",IF(I43&gt;80,"A+",IF(I43&gt;70,"A",IF(I43&gt;60,"B",IF(I43&gt;35,"C","F")))))</f>
        <v>C</v>
      </c>
      <c r="K43" s="14" t="str">
        <f>IF(J43="F","Fail","Pass")</f>
        <v>Pass</v>
      </c>
      <c r="L43" s="14"/>
      <c r="M43" s="14">
        <f t="shared" si="0"/>
        <v>241</v>
      </c>
      <c r="N43" s="14">
        <f t="shared" si="1"/>
        <v>48.2</v>
      </c>
      <c r="O43" s="14" t="str">
        <f t="shared" si="2"/>
        <v>F</v>
      </c>
      <c r="P43" s="14" t="str">
        <f t="shared" si="3"/>
        <v>Fail</v>
      </c>
    </row>
    <row r="44" spans="1:16" x14ac:dyDescent="0.3">
      <c r="A44" s="14">
        <v>23</v>
      </c>
      <c r="B44" s="14" t="s">
        <v>320</v>
      </c>
      <c r="C44" s="14">
        <v>41</v>
      </c>
      <c r="D44" s="14">
        <v>54</v>
      </c>
      <c r="E44" s="14">
        <v>22</v>
      </c>
      <c r="F44" s="14">
        <v>51</v>
      </c>
      <c r="G44" s="14">
        <v>78</v>
      </c>
      <c r="H44" s="14">
        <f>SUM(C44:G44)</f>
        <v>246</v>
      </c>
      <c r="I44" s="14">
        <f>AVERAGE(C44:G44)</f>
        <v>49.2</v>
      </c>
      <c r="J44" s="14" t="str">
        <f>IF(I44&gt;90,"A++",IF(I44&gt;80,"A+",IF(I44&gt;70,"A",IF(I44&gt;60,"B",IF(I44&gt;35,"C","F")))))</f>
        <v>C</v>
      </c>
      <c r="K44" s="14" t="str">
        <f>IF(J44="F","Fail","Pass")</f>
        <v>Pass</v>
      </c>
      <c r="L44" s="14"/>
      <c r="M44" s="14">
        <f t="shared" si="0"/>
        <v>246</v>
      </c>
      <c r="N44" s="14">
        <f t="shared" si="1"/>
        <v>49.2</v>
      </c>
      <c r="O44" s="14" t="str">
        <f t="shared" si="2"/>
        <v>F</v>
      </c>
      <c r="P44" s="14" t="str">
        <f t="shared" si="3"/>
        <v>Fail</v>
      </c>
    </row>
    <row r="45" spans="1:16" ht="28.8" x14ac:dyDescent="0.3">
      <c r="A45" s="14">
        <v>109</v>
      </c>
      <c r="B45" s="14" t="s">
        <v>406</v>
      </c>
      <c r="C45" s="14">
        <v>15</v>
      </c>
      <c r="D45" s="14">
        <v>15</v>
      </c>
      <c r="E45" s="14">
        <v>76</v>
      </c>
      <c r="F45" s="14">
        <v>78</v>
      </c>
      <c r="G45" s="14">
        <v>64</v>
      </c>
      <c r="H45" s="14">
        <f>SUM(C45:G45)</f>
        <v>248</v>
      </c>
      <c r="I45" s="14">
        <f>AVERAGE(C45:G45)</f>
        <v>49.6</v>
      </c>
      <c r="J45" s="14" t="str">
        <f>IF(I45&gt;90,"A++",IF(I45&gt;80,"A+",IF(I45&gt;70,"A",IF(I45&gt;60,"B",IF(I45&gt;35,"C","F")))))</f>
        <v>C</v>
      </c>
      <c r="K45" s="14" t="str">
        <f>IF(J45="F","Fail","Pass")</f>
        <v>Pass</v>
      </c>
      <c r="L45" s="14"/>
      <c r="M45" s="14">
        <f t="shared" si="0"/>
        <v>248</v>
      </c>
      <c r="N45" s="14">
        <f t="shared" si="1"/>
        <v>49.6</v>
      </c>
      <c r="O45" s="14" t="str">
        <f t="shared" si="2"/>
        <v>F</v>
      </c>
      <c r="P45" s="14" t="str">
        <f t="shared" si="3"/>
        <v>Fail</v>
      </c>
    </row>
    <row r="46" spans="1:16" ht="28.8" x14ac:dyDescent="0.3">
      <c r="A46" s="14">
        <v>87</v>
      </c>
      <c r="B46" s="14" t="s">
        <v>384</v>
      </c>
      <c r="C46" s="14">
        <v>42</v>
      </c>
      <c r="D46" s="14">
        <v>15</v>
      </c>
      <c r="E46" s="14">
        <v>67</v>
      </c>
      <c r="F46" s="14">
        <v>46</v>
      </c>
      <c r="G46" s="14">
        <v>78</v>
      </c>
      <c r="H46" s="14">
        <f>SUM(C46:G46)</f>
        <v>248</v>
      </c>
      <c r="I46" s="14">
        <f>AVERAGE(C46:G46)</f>
        <v>49.6</v>
      </c>
      <c r="J46" s="14" t="str">
        <f>IF(I46&gt;90,"A++",IF(I46&gt;80,"A+",IF(I46&gt;70,"A",IF(I46&gt;60,"B",IF(I46&gt;35,"C","F")))))</f>
        <v>C</v>
      </c>
      <c r="K46" s="14" t="str">
        <f>IF(J46="F","Fail","Pass")</f>
        <v>Pass</v>
      </c>
      <c r="L46" s="14"/>
      <c r="M46" s="14">
        <f t="shared" si="0"/>
        <v>248</v>
      </c>
      <c r="N46" s="14">
        <f t="shared" si="1"/>
        <v>49.6</v>
      </c>
      <c r="O46" s="14" t="str">
        <f t="shared" si="2"/>
        <v>F</v>
      </c>
      <c r="P46" s="14" t="str">
        <f t="shared" si="3"/>
        <v>Fail</v>
      </c>
    </row>
    <row r="47" spans="1:16" x14ac:dyDescent="0.3">
      <c r="A47" s="14">
        <v>40</v>
      </c>
      <c r="B47" s="14" t="s">
        <v>337</v>
      </c>
      <c r="C47" s="14">
        <v>77</v>
      </c>
      <c r="D47" s="14">
        <v>35</v>
      </c>
      <c r="E47" s="14">
        <v>34</v>
      </c>
      <c r="F47" s="14">
        <v>65</v>
      </c>
      <c r="G47" s="14">
        <v>38</v>
      </c>
      <c r="H47" s="14">
        <f>SUM(C47:G47)</f>
        <v>249</v>
      </c>
      <c r="I47" s="14">
        <f>AVERAGE(C47:G47)</f>
        <v>49.8</v>
      </c>
      <c r="J47" s="14" t="str">
        <f>IF(I47&gt;90,"A++",IF(I47&gt;80,"A+",IF(I47&gt;70,"A",IF(I47&gt;60,"B",IF(I47&gt;35,"C","F")))))</f>
        <v>C</v>
      </c>
      <c r="K47" s="14" t="str">
        <f>IF(J47="F","Fail","Pass")</f>
        <v>Pass</v>
      </c>
      <c r="L47" s="14"/>
      <c r="M47" s="14">
        <f t="shared" si="0"/>
        <v>249</v>
      </c>
      <c r="N47" s="14">
        <f t="shared" si="1"/>
        <v>49.8</v>
      </c>
      <c r="O47" s="14" t="str">
        <f t="shared" si="2"/>
        <v>F</v>
      </c>
      <c r="P47" s="14" t="str">
        <f t="shared" si="3"/>
        <v>Fail</v>
      </c>
    </row>
    <row r="48" spans="1:16" ht="28.8" x14ac:dyDescent="0.3">
      <c r="A48" s="14">
        <v>74</v>
      </c>
      <c r="B48" s="14" t="s">
        <v>371</v>
      </c>
      <c r="C48" s="14">
        <v>51</v>
      </c>
      <c r="D48" s="14">
        <v>30</v>
      </c>
      <c r="E48" s="14">
        <v>78</v>
      </c>
      <c r="F48" s="14">
        <v>53</v>
      </c>
      <c r="G48" s="14">
        <v>37</v>
      </c>
      <c r="H48" s="14">
        <f>SUM(C48:G48)</f>
        <v>249</v>
      </c>
      <c r="I48" s="14">
        <f>AVERAGE(C48:G48)</f>
        <v>49.8</v>
      </c>
      <c r="J48" s="14" t="str">
        <f>IF(I48&gt;90,"A++",IF(I48&gt;80,"A+",IF(I48&gt;70,"A",IF(I48&gt;60,"B",IF(I48&gt;35,"C","F")))))</f>
        <v>C</v>
      </c>
      <c r="K48" s="14" t="str">
        <f>IF(J48="F","Fail","Pass")</f>
        <v>Pass</v>
      </c>
      <c r="L48" s="14"/>
      <c r="M48" s="14">
        <f t="shared" si="0"/>
        <v>249</v>
      </c>
      <c r="N48" s="14">
        <f t="shared" si="1"/>
        <v>49.8</v>
      </c>
      <c r="O48" s="14" t="str">
        <f t="shared" si="2"/>
        <v>F</v>
      </c>
      <c r="P48" s="14" t="str">
        <f t="shared" si="3"/>
        <v>Fail</v>
      </c>
    </row>
    <row r="49" spans="1:16" ht="28.8" x14ac:dyDescent="0.3">
      <c r="A49" s="14">
        <v>79</v>
      </c>
      <c r="B49" s="14" t="s">
        <v>376</v>
      </c>
      <c r="C49" s="14">
        <v>51</v>
      </c>
      <c r="D49" s="14">
        <v>80</v>
      </c>
      <c r="E49" s="14">
        <v>30</v>
      </c>
      <c r="F49" s="14">
        <v>14</v>
      </c>
      <c r="G49" s="14">
        <v>77</v>
      </c>
      <c r="H49" s="14">
        <f>SUM(C49:G49)</f>
        <v>252</v>
      </c>
      <c r="I49" s="14">
        <f>AVERAGE(C49:G49)</f>
        <v>50.4</v>
      </c>
      <c r="J49" s="14" t="str">
        <f>IF(I49&gt;90,"A++",IF(I49&gt;80,"A+",IF(I49&gt;70,"A",IF(I49&gt;60,"B",IF(I49&gt;35,"C","F")))))</f>
        <v>C</v>
      </c>
      <c r="K49" s="14" t="str">
        <f>IF(J49="F","Fail","Pass")</f>
        <v>Pass</v>
      </c>
      <c r="L49" s="14"/>
      <c r="M49" s="14">
        <f t="shared" si="0"/>
        <v>252</v>
      </c>
      <c r="N49" s="14">
        <f t="shared" si="1"/>
        <v>50.4</v>
      </c>
      <c r="O49" s="14" t="str">
        <f t="shared" si="2"/>
        <v>B</v>
      </c>
      <c r="P49" s="14" t="str">
        <f t="shared" si="3"/>
        <v>Pass</v>
      </c>
    </row>
    <row r="50" spans="1:16" x14ac:dyDescent="0.3">
      <c r="A50" s="14">
        <v>33</v>
      </c>
      <c r="B50" s="14" t="s">
        <v>330</v>
      </c>
      <c r="C50" s="14">
        <v>12</v>
      </c>
      <c r="D50" s="14">
        <v>58</v>
      </c>
      <c r="E50" s="14">
        <v>92</v>
      </c>
      <c r="F50" s="14">
        <v>77</v>
      </c>
      <c r="G50" s="14">
        <v>15</v>
      </c>
      <c r="H50" s="14">
        <f>SUM(C50:G50)</f>
        <v>254</v>
      </c>
      <c r="I50" s="14">
        <f>AVERAGE(C50:G50)</f>
        <v>50.8</v>
      </c>
      <c r="J50" s="14" t="str">
        <f>IF(I50&gt;90,"A++",IF(I50&gt;80,"A+",IF(I50&gt;70,"A",IF(I50&gt;60,"B",IF(I50&gt;35,"C","F")))))</f>
        <v>C</v>
      </c>
      <c r="K50" s="14" t="str">
        <f>IF(J50="F","Fail","Pass")</f>
        <v>Pass</v>
      </c>
      <c r="L50" s="14"/>
      <c r="M50" s="14">
        <f t="shared" si="0"/>
        <v>254</v>
      </c>
      <c r="N50" s="14">
        <f t="shared" si="1"/>
        <v>50.8</v>
      </c>
      <c r="O50" s="14" t="str">
        <f t="shared" si="2"/>
        <v>B</v>
      </c>
      <c r="P50" s="14" t="str">
        <f t="shared" si="3"/>
        <v>Pass</v>
      </c>
    </row>
    <row r="51" spans="1:16" ht="28.8" x14ac:dyDescent="0.3">
      <c r="A51" s="14">
        <v>111</v>
      </c>
      <c r="B51" s="14" t="s">
        <v>408</v>
      </c>
      <c r="C51" s="14">
        <v>92</v>
      </c>
      <c r="D51" s="14">
        <v>40</v>
      </c>
      <c r="E51" s="14">
        <v>15</v>
      </c>
      <c r="F51" s="14">
        <v>66</v>
      </c>
      <c r="G51" s="14">
        <v>42</v>
      </c>
      <c r="H51" s="14">
        <f>SUM(C51:G51)</f>
        <v>255</v>
      </c>
      <c r="I51" s="14">
        <f>AVERAGE(C51:G51)</f>
        <v>51</v>
      </c>
      <c r="J51" s="14" t="str">
        <f>IF(I51&gt;90,"A++",IF(I51&gt;80,"A+",IF(I51&gt;70,"A",IF(I51&gt;60,"B",IF(I51&gt;35,"C","F")))))</f>
        <v>C</v>
      </c>
      <c r="K51" s="14" t="str">
        <f>IF(J51="F","Fail","Pass")</f>
        <v>Pass</v>
      </c>
      <c r="L51" s="14"/>
      <c r="M51" s="14">
        <f t="shared" si="0"/>
        <v>255</v>
      </c>
      <c r="N51" s="14">
        <f t="shared" si="1"/>
        <v>51</v>
      </c>
      <c r="O51" s="14" t="str">
        <f t="shared" si="2"/>
        <v>B</v>
      </c>
      <c r="P51" s="14" t="str">
        <f t="shared" si="3"/>
        <v>Pass</v>
      </c>
    </row>
    <row r="52" spans="1:16" ht="28.8" x14ac:dyDescent="0.3">
      <c r="A52" s="14">
        <v>59</v>
      </c>
      <c r="B52" s="14" t="s">
        <v>356</v>
      </c>
      <c r="C52" s="14">
        <v>52</v>
      </c>
      <c r="D52" s="14">
        <v>70</v>
      </c>
      <c r="E52" s="14">
        <v>35</v>
      </c>
      <c r="F52" s="14">
        <v>73</v>
      </c>
      <c r="G52" s="14">
        <v>26</v>
      </c>
      <c r="H52" s="14">
        <f>SUM(C52:G52)</f>
        <v>256</v>
      </c>
      <c r="I52" s="14">
        <f>AVERAGE(C52:G52)</f>
        <v>51.2</v>
      </c>
      <c r="J52" s="14" t="str">
        <f>IF(I52&gt;90,"A++",IF(I52&gt;80,"A+",IF(I52&gt;70,"A",IF(I52&gt;60,"B",IF(I52&gt;35,"C","F")))))</f>
        <v>C</v>
      </c>
      <c r="K52" s="14" t="str">
        <f>IF(J52="F","Fail","Pass")</f>
        <v>Pass</v>
      </c>
      <c r="L52" s="14"/>
      <c r="M52" s="14">
        <f t="shared" si="0"/>
        <v>256</v>
      </c>
      <c r="N52" s="14">
        <f t="shared" si="1"/>
        <v>51.2</v>
      </c>
      <c r="O52" s="14" t="str">
        <f t="shared" si="2"/>
        <v>B</v>
      </c>
      <c r="P52" s="14" t="str">
        <f t="shared" si="3"/>
        <v>Pass</v>
      </c>
    </row>
    <row r="53" spans="1:16" ht="28.8" x14ac:dyDescent="0.3">
      <c r="A53" s="14">
        <v>116</v>
      </c>
      <c r="B53" s="14" t="s">
        <v>413</v>
      </c>
      <c r="C53" s="14">
        <v>63</v>
      </c>
      <c r="D53" s="14">
        <v>75</v>
      </c>
      <c r="E53" s="14">
        <v>24</v>
      </c>
      <c r="F53" s="14">
        <v>57</v>
      </c>
      <c r="G53" s="14">
        <v>40</v>
      </c>
      <c r="H53" s="14">
        <f>SUM(C53:G53)</f>
        <v>259</v>
      </c>
      <c r="I53" s="14">
        <f>AVERAGE(C53:G53)</f>
        <v>51.8</v>
      </c>
      <c r="J53" s="14" t="str">
        <f>IF(I53&gt;90,"A++",IF(I53&gt;80,"A+",IF(I53&gt;70,"A",IF(I53&gt;60,"B",IF(I53&gt;35,"C","F")))))</f>
        <v>C</v>
      </c>
      <c r="K53" s="14" t="str">
        <f>IF(J53="F","Fail","Pass")</f>
        <v>Pass</v>
      </c>
      <c r="L53" s="14"/>
      <c r="M53" s="14">
        <f t="shared" si="0"/>
        <v>259</v>
      </c>
      <c r="N53" s="14">
        <f t="shared" si="1"/>
        <v>51.8</v>
      </c>
      <c r="O53" s="14" t="str">
        <f t="shared" si="2"/>
        <v>B</v>
      </c>
      <c r="P53" s="14" t="str">
        <f t="shared" si="3"/>
        <v>Pass</v>
      </c>
    </row>
    <row r="54" spans="1:16" x14ac:dyDescent="0.3">
      <c r="A54" s="14">
        <v>119</v>
      </c>
      <c r="B54" s="14" t="s">
        <v>416</v>
      </c>
      <c r="C54" s="14">
        <v>54</v>
      </c>
      <c r="D54" s="14">
        <v>84</v>
      </c>
      <c r="E54" s="14">
        <v>32</v>
      </c>
      <c r="F54" s="14">
        <v>67</v>
      </c>
      <c r="G54" s="14">
        <v>23</v>
      </c>
      <c r="H54" s="14">
        <f>SUM(C54:G54)</f>
        <v>260</v>
      </c>
      <c r="I54" s="14">
        <f>AVERAGE(C54:G54)</f>
        <v>52</v>
      </c>
      <c r="J54" s="14" t="str">
        <f>IF(I54&gt;90,"A++",IF(I54&gt;80,"A+",IF(I54&gt;70,"A",IF(I54&gt;60,"B",IF(I54&gt;35,"C","F")))))</f>
        <v>C</v>
      </c>
      <c r="K54" s="14" t="str">
        <f>IF(J54="F","Fail","Pass")</f>
        <v>Pass</v>
      </c>
      <c r="L54" s="14"/>
      <c r="M54" s="14">
        <f t="shared" si="0"/>
        <v>260</v>
      </c>
      <c r="N54" s="14">
        <f t="shared" si="1"/>
        <v>52</v>
      </c>
      <c r="O54" s="14" t="str">
        <f t="shared" si="2"/>
        <v>B</v>
      </c>
      <c r="P54" s="14" t="str">
        <f t="shared" si="3"/>
        <v>Pass</v>
      </c>
    </row>
    <row r="55" spans="1:16" ht="28.8" x14ac:dyDescent="0.3">
      <c r="A55" s="14">
        <v>101</v>
      </c>
      <c r="B55" s="14" t="s">
        <v>398</v>
      </c>
      <c r="C55" s="14">
        <v>84</v>
      </c>
      <c r="D55" s="14">
        <v>36</v>
      </c>
      <c r="E55" s="14">
        <v>38</v>
      </c>
      <c r="F55" s="14">
        <v>47</v>
      </c>
      <c r="G55" s="14">
        <v>57</v>
      </c>
      <c r="H55" s="14">
        <f>SUM(C55:G55)</f>
        <v>262</v>
      </c>
      <c r="I55" s="14">
        <f>AVERAGE(C55:G55)</f>
        <v>52.4</v>
      </c>
      <c r="J55" s="14" t="str">
        <f>IF(I55&gt;90,"A++",IF(I55&gt;80,"A+",IF(I55&gt;70,"A",IF(I55&gt;60,"B",IF(I55&gt;35,"C","F")))))</f>
        <v>C</v>
      </c>
      <c r="K55" s="14" t="str">
        <f>IF(J55="F","Fail","Pass")</f>
        <v>Pass</v>
      </c>
      <c r="L55" s="14"/>
      <c r="M55" s="14">
        <f t="shared" si="0"/>
        <v>262</v>
      </c>
      <c r="N55" s="14">
        <f t="shared" si="1"/>
        <v>52.4</v>
      </c>
      <c r="O55" s="14" t="str">
        <f t="shared" si="2"/>
        <v>B</v>
      </c>
      <c r="P55" s="14" t="str">
        <f t="shared" si="3"/>
        <v>Pass</v>
      </c>
    </row>
    <row r="56" spans="1:16" ht="28.8" x14ac:dyDescent="0.3">
      <c r="A56" s="14">
        <v>102</v>
      </c>
      <c r="B56" s="14" t="s">
        <v>399</v>
      </c>
      <c r="C56" s="14">
        <v>84</v>
      </c>
      <c r="D56" s="14">
        <v>16</v>
      </c>
      <c r="E56" s="14">
        <v>96</v>
      </c>
      <c r="F56" s="14">
        <v>49</v>
      </c>
      <c r="G56" s="14">
        <v>19</v>
      </c>
      <c r="H56" s="14">
        <f>SUM(C56:G56)</f>
        <v>264</v>
      </c>
      <c r="I56" s="14">
        <f>AVERAGE(C56:G56)</f>
        <v>52.8</v>
      </c>
      <c r="J56" s="14" t="str">
        <f>IF(I56&gt;90,"A++",IF(I56&gt;80,"A+",IF(I56&gt;70,"A",IF(I56&gt;60,"B",IF(I56&gt;35,"C","F")))))</f>
        <v>C</v>
      </c>
      <c r="K56" s="14" t="str">
        <f>IF(J56="F","Fail","Pass")</f>
        <v>Pass</v>
      </c>
      <c r="L56" s="14"/>
      <c r="M56" s="14">
        <f t="shared" si="0"/>
        <v>264</v>
      </c>
      <c r="N56" s="14">
        <f t="shared" si="1"/>
        <v>52.8</v>
      </c>
      <c r="O56" s="14" t="str">
        <f t="shared" si="2"/>
        <v>B</v>
      </c>
      <c r="P56" s="14" t="str">
        <f t="shared" si="3"/>
        <v>Pass</v>
      </c>
    </row>
    <row r="57" spans="1:16" ht="28.8" x14ac:dyDescent="0.3">
      <c r="A57" s="14">
        <v>97</v>
      </c>
      <c r="B57" s="14" t="s">
        <v>394</v>
      </c>
      <c r="C57" s="14">
        <v>78</v>
      </c>
      <c r="D57" s="14">
        <v>85</v>
      </c>
      <c r="E57" s="14">
        <v>77</v>
      </c>
      <c r="F57" s="14">
        <v>14</v>
      </c>
      <c r="G57" s="14">
        <v>13</v>
      </c>
      <c r="H57" s="14">
        <f>SUM(C57:G57)</f>
        <v>267</v>
      </c>
      <c r="I57" s="14">
        <f>AVERAGE(C57:G57)</f>
        <v>53.4</v>
      </c>
      <c r="J57" s="14" t="str">
        <f>IF(I57&gt;90,"A++",IF(I57&gt;80,"A+",IF(I57&gt;70,"A",IF(I57&gt;60,"B",IF(I57&gt;35,"C","F")))))</f>
        <v>C</v>
      </c>
      <c r="K57" s="14" t="str">
        <f>IF(J57="F","Fail","Pass")</f>
        <v>Pass</v>
      </c>
      <c r="L57" s="14"/>
      <c r="M57" s="14">
        <f t="shared" si="0"/>
        <v>267</v>
      </c>
      <c r="N57" s="14">
        <f t="shared" si="1"/>
        <v>53.4</v>
      </c>
      <c r="O57" s="14" t="str">
        <f t="shared" si="2"/>
        <v>B</v>
      </c>
      <c r="P57" s="14" t="str">
        <f t="shared" si="3"/>
        <v>Pass</v>
      </c>
    </row>
    <row r="58" spans="1:16" x14ac:dyDescent="0.3">
      <c r="A58" s="14">
        <v>41</v>
      </c>
      <c r="B58" s="14" t="s">
        <v>338</v>
      </c>
      <c r="C58" s="14">
        <v>53</v>
      </c>
      <c r="D58" s="14">
        <v>26</v>
      </c>
      <c r="E58" s="14">
        <v>75</v>
      </c>
      <c r="F58" s="14">
        <v>50</v>
      </c>
      <c r="G58" s="14">
        <v>64</v>
      </c>
      <c r="H58" s="14">
        <f>SUM(C58:G58)</f>
        <v>268</v>
      </c>
      <c r="I58" s="14">
        <f>AVERAGE(C58:G58)</f>
        <v>53.6</v>
      </c>
      <c r="J58" s="14" t="str">
        <f>IF(I58&gt;90,"A++",IF(I58&gt;80,"A+",IF(I58&gt;70,"A",IF(I58&gt;60,"B",IF(I58&gt;35,"C","F")))))</f>
        <v>C</v>
      </c>
      <c r="K58" s="14" t="str">
        <f>IF(J58="F","Fail","Pass")</f>
        <v>Pass</v>
      </c>
      <c r="L58" s="14"/>
      <c r="M58" s="14">
        <f t="shared" si="0"/>
        <v>268</v>
      </c>
      <c r="N58" s="14">
        <f t="shared" si="1"/>
        <v>53.6</v>
      </c>
      <c r="O58" s="14" t="str">
        <f t="shared" si="2"/>
        <v>B</v>
      </c>
      <c r="P58" s="14" t="str">
        <f t="shared" si="3"/>
        <v>Pass</v>
      </c>
    </row>
    <row r="59" spans="1:16" ht="28.8" x14ac:dyDescent="0.3">
      <c r="A59" s="14">
        <v>70</v>
      </c>
      <c r="B59" s="14" t="s">
        <v>367</v>
      </c>
      <c r="C59" s="14">
        <v>28</v>
      </c>
      <c r="D59" s="14">
        <v>82</v>
      </c>
      <c r="E59" s="14">
        <v>58</v>
      </c>
      <c r="F59" s="14">
        <v>45</v>
      </c>
      <c r="G59" s="14">
        <v>55</v>
      </c>
      <c r="H59" s="14">
        <f>SUM(C59:G59)</f>
        <v>268</v>
      </c>
      <c r="I59" s="14">
        <f>AVERAGE(C59:G59)</f>
        <v>53.6</v>
      </c>
      <c r="J59" s="14" t="str">
        <f>IF(I59&gt;90,"A++",IF(I59&gt;80,"A+",IF(I59&gt;70,"A",IF(I59&gt;60,"B",IF(I59&gt;35,"C","F")))))</f>
        <v>C</v>
      </c>
      <c r="K59" s="14" t="str">
        <f>IF(J59="F","Fail","Pass")</f>
        <v>Pass</v>
      </c>
      <c r="L59" s="14"/>
      <c r="M59" s="14">
        <f t="shared" si="0"/>
        <v>268</v>
      </c>
      <c r="N59" s="14">
        <f t="shared" si="1"/>
        <v>53.6</v>
      </c>
      <c r="O59" s="14" t="str">
        <f t="shared" si="2"/>
        <v>B</v>
      </c>
      <c r="P59" s="14" t="str">
        <f t="shared" si="3"/>
        <v>Pass</v>
      </c>
    </row>
    <row r="60" spans="1:16" x14ac:dyDescent="0.3">
      <c r="A60" s="14">
        <v>6</v>
      </c>
      <c r="B60" s="14" t="s">
        <v>303</v>
      </c>
      <c r="C60" s="14">
        <v>84</v>
      </c>
      <c r="D60" s="14">
        <v>57</v>
      </c>
      <c r="E60" s="14">
        <v>68</v>
      </c>
      <c r="F60" s="14">
        <v>30</v>
      </c>
      <c r="G60" s="14">
        <v>31</v>
      </c>
      <c r="H60" s="14">
        <f>SUM(C60:G60)</f>
        <v>270</v>
      </c>
      <c r="I60" s="14">
        <f>AVERAGE(C60:G60)</f>
        <v>54</v>
      </c>
      <c r="J60" s="14" t="str">
        <f>IF(I60&gt;90,"A++",IF(I60&gt;80,"A+",IF(I60&gt;70,"A",IF(I60&gt;60,"B",IF(I60&gt;35,"C","F")))))</f>
        <v>C</v>
      </c>
      <c r="K60" s="14" t="str">
        <f>IF(J60="F","Fail","Pass")</f>
        <v>Pass</v>
      </c>
      <c r="L60" s="14"/>
      <c r="M60" s="14">
        <f t="shared" si="0"/>
        <v>270</v>
      </c>
      <c r="N60" s="14">
        <f t="shared" si="1"/>
        <v>54</v>
      </c>
      <c r="O60" s="14" t="str">
        <f t="shared" si="2"/>
        <v>B</v>
      </c>
      <c r="P60" s="14" t="str">
        <f t="shared" si="3"/>
        <v>Pass</v>
      </c>
    </row>
    <row r="61" spans="1:16" x14ac:dyDescent="0.3">
      <c r="A61" s="14">
        <v>39</v>
      </c>
      <c r="B61" s="14" t="s">
        <v>336</v>
      </c>
      <c r="C61" s="14">
        <v>30</v>
      </c>
      <c r="D61" s="14">
        <v>75</v>
      </c>
      <c r="E61" s="14">
        <v>28</v>
      </c>
      <c r="F61" s="14">
        <v>52</v>
      </c>
      <c r="G61" s="14">
        <v>85</v>
      </c>
      <c r="H61" s="14">
        <f>SUM(C61:G61)</f>
        <v>270</v>
      </c>
      <c r="I61" s="14">
        <f>AVERAGE(C61:G61)</f>
        <v>54</v>
      </c>
      <c r="J61" s="14" t="str">
        <f>IF(I61&gt;90,"A++",IF(I61&gt;80,"A+",IF(I61&gt;70,"A",IF(I61&gt;60,"B",IF(I61&gt;35,"C","F")))))</f>
        <v>C</v>
      </c>
      <c r="K61" s="14" t="str">
        <f>IF(J61="F","Fail","Pass")</f>
        <v>Pass</v>
      </c>
      <c r="L61" s="14"/>
      <c r="M61" s="14">
        <f t="shared" si="0"/>
        <v>270</v>
      </c>
      <c r="N61" s="14">
        <f t="shared" si="1"/>
        <v>54</v>
      </c>
      <c r="O61" s="14" t="str">
        <f t="shared" si="2"/>
        <v>B</v>
      </c>
      <c r="P61" s="14" t="str">
        <f t="shared" si="3"/>
        <v>Pass</v>
      </c>
    </row>
    <row r="62" spans="1:16" ht="28.8" x14ac:dyDescent="0.3">
      <c r="A62" s="14">
        <v>106</v>
      </c>
      <c r="B62" s="14" t="s">
        <v>403</v>
      </c>
      <c r="C62" s="14">
        <v>27</v>
      </c>
      <c r="D62" s="14">
        <v>80</v>
      </c>
      <c r="E62" s="14">
        <v>12</v>
      </c>
      <c r="F62" s="14">
        <v>68</v>
      </c>
      <c r="G62" s="14">
        <v>86</v>
      </c>
      <c r="H62" s="14">
        <f>SUM(C62:G62)</f>
        <v>273</v>
      </c>
      <c r="I62" s="14">
        <f>AVERAGE(C62:G62)</f>
        <v>54.6</v>
      </c>
      <c r="J62" s="14" t="str">
        <f>IF(I62&gt;90,"A++",IF(I62&gt;80,"A+",IF(I62&gt;70,"A",IF(I62&gt;60,"B",IF(I62&gt;35,"C","F")))))</f>
        <v>C</v>
      </c>
      <c r="K62" s="14" t="str">
        <f>IF(J62="F","Fail","Pass")</f>
        <v>Pass</v>
      </c>
      <c r="L62" s="14"/>
      <c r="M62" s="14">
        <f t="shared" si="0"/>
        <v>273</v>
      </c>
      <c r="N62" s="14">
        <f t="shared" si="1"/>
        <v>54.6</v>
      </c>
      <c r="O62" s="14" t="str">
        <f t="shared" si="2"/>
        <v>B</v>
      </c>
      <c r="P62" s="14" t="str">
        <f t="shared" si="3"/>
        <v>Pass</v>
      </c>
    </row>
    <row r="63" spans="1:16" ht="28.8" x14ac:dyDescent="0.3">
      <c r="A63" s="14">
        <v>56</v>
      </c>
      <c r="B63" s="14" t="s">
        <v>353</v>
      </c>
      <c r="C63" s="14">
        <v>39</v>
      </c>
      <c r="D63" s="14">
        <v>76</v>
      </c>
      <c r="E63" s="14">
        <v>45</v>
      </c>
      <c r="F63" s="14">
        <v>29</v>
      </c>
      <c r="G63" s="14">
        <v>87</v>
      </c>
      <c r="H63" s="14">
        <f>SUM(C63:G63)</f>
        <v>276</v>
      </c>
      <c r="I63" s="14">
        <f>AVERAGE(C63:G63)</f>
        <v>55.2</v>
      </c>
      <c r="J63" s="14" t="str">
        <f>IF(I63&gt;90,"A++",IF(I63&gt;80,"A+",IF(I63&gt;70,"A",IF(I63&gt;60,"B",IF(I63&gt;35,"C","F")))))</f>
        <v>C</v>
      </c>
      <c r="K63" s="14" t="str">
        <f>IF(J63="F","Fail","Pass")</f>
        <v>Pass</v>
      </c>
      <c r="L63" s="14"/>
      <c r="M63" s="14">
        <f t="shared" si="0"/>
        <v>276</v>
      </c>
      <c r="N63" s="14">
        <f t="shared" si="1"/>
        <v>55.2</v>
      </c>
      <c r="O63" s="14" t="str">
        <f t="shared" si="2"/>
        <v>B</v>
      </c>
      <c r="P63" s="14" t="str">
        <f t="shared" si="3"/>
        <v>Pass</v>
      </c>
    </row>
    <row r="64" spans="1:16" ht="28.8" x14ac:dyDescent="0.3">
      <c r="A64" s="14">
        <v>62</v>
      </c>
      <c r="B64" s="14" t="s">
        <v>359</v>
      </c>
      <c r="C64" s="14">
        <v>16</v>
      </c>
      <c r="D64" s="14">
        <v>98</v>
      </c>
      <c r="E64" s="14">
        <v>38</v>
      </c>
      <c r="F64" s="14">
        <v>88</v>
      </c>
      <c r="G64" s="14">
        <v>37</v>
      </c>
      <c r="H64" s="14">
        <f>SUM(C64:G64)</f>
        <v>277</v>
      </c>
      <c r="I64" s="14">
        <f>AVERAGE(C64:G64)</f>
        <v>55.4</v>
      </c>
      <c r="J64" s="14" t="str">
        <f>IF(I64&gt;90,"A++",IF(I64&gt;80,"A+",IF(I64&gt;70,"A",IF(I64&gt;60,"B",IF(I64&gt;35,"C","F")))))</f>
        <v>C</v>
      </c>
      <c r="K64" s="14" t="str">
        <f>IF(J64="F","Fail","Pass")</f>
        <v>Pass</v>
      </c>
      <c r="L64" s="14"/>
      <c r="M64" s="14">
        <f t="shared" si="0"/>
        <v>277</v>
      </c>
      <c r="N64" s="14">
        <f t="shared" si="1"/>
        <v>55.4</v>
      </c>
      <c r="O64" s="14" t="str">
        <f t="shared" si="2"/>
        <v>B</v>
      </c>
      <c r="P64" s="14" t="str">
        <f t="shared" si="3"/>
        <v>Pass</v>
      </c>
    </row>
    <row r="65" spans="1:16" ht="28.8" x14ac:dyDescent="0.3">
      <c r="A65" s="14">
        <v>63</v>
      </c>
      <c r="B65" s="14" t="s">
        <v>360</v>
      </c>
      <c r="C65" s="14">
        <v>33</v>
      </c>
      <c r="D65" s="14">
        <v>45</v>
      </c>
      <c r="E65" s="14">
        <v>92</v>
      </c>
      <c r="F65" s="14">
        <v>31</v>
      </c>
      <c r="G65" s="14">
        <v>85</v>
      </c>
      <c r="H65" s="14">
        <f>SUM(C65:G65)</f>
        <v>286</v>
      </c>
      <c r="I65" s="14">
        <f>AVERAGE(C65:G65)</f>
        <v>57.2</v>
      </c>
      <c r="J65" s="14" t="str">
        <f>IF(I65&gt;90,"A++",IF(I65&gt;80,"A+",IF(I65&gt;70,"A",IF(I65&gt;60,"B",IF(I65&gt;35,"C","F")))))</f>
        <v>C</v>
      </c>
      <c r="K65" s="14" t="str">
        <f>IF(J65="F","Fail","Pass")</f>
        <v>Pass</v>
      </c>
      <c r="L65" s="14"/>
      <c r="M65" s="14">
        <f t="shared" si="0"/>
        <v>286</v>
      </c>
      <c r="N65" s="14">
        <f t="shared" si="1"/>
        <v>57.2</v>
      </c>
      <c r="O65" s="14" t="str">
        <f t="shared" si="2"/>
        <v>B</v>
      </c>
      <c r="P65" s="14" t="str">
        <f t="shared" si="3"/>
        <v>Pass</v>
      </c>
    </row>
    <row r="66" spans="1:16" ht="28.8" x14ac:dyDescent="0.3">
      <c r="A66" s="14">
        <v>49</v>
      </c>
      <c r="B66" s="14" t="s">
        <v>346</v>
      </c>
      <c r="C66" s="14">
        <v>52</v>
      </c>
      <c r="D66" s="14">
        <v>69</v>
      </c>
      <c r="E66" s="14">
        <v>39</v>
      </c>
      <c r="F66" s="14">
        <v>68</v>
      </c>
      <c r="G66" s="14">
        <v>59</v>
      </c>
      <c r="H66" s="14">
        <f>SUM(C66:G66)</f>
        <v>287</v>
      </c>
      <c r="I66" s="14">
        <f>AVERAGE(C66:G66)</f>
        <v>57.4</v>
      </c>
      <c r="J66" s="14" t="str">
        <f>IF(I66&gt;90,"A++",IF(I66&gt;80,"A+",IF(I66&gt;70,"A",IF(I66&gt;60,"B",IF(I66&gt;35,"C","F")))))</f>
        <v>C</v>
      </c>
      <c r="K66" s="14" t="str">
        <f>IF(J66="F","Fail","Pass")</f>
        <v>Pass</v>
      </c>
      <c r="L66" s="14"/>
      <c r="M66" s="14">
        <f t="shared" si="0"/>
        <v>287</v>
      </c>
      <c r="N66" s="14">
        <f t="shared" si="1"/>
        <v>57.4</v>
      </c>
      <c r="O66" s="14" t="str">
        <f t="shared" si="2"/>
        <v>B</v>
      </c>
      <c r="P66" s="14" t="str">
        <f t="shared" si="3"/>
        <v>Pass</v>
      </c>
    </row>
    <row r="67" spans="1:16" ht="28.8" x14ac:dyDescent="0.3">
      <c r="A67" s="14">
        <v>91</v>
      </c>
      <c r="B67" s="14" t="s">
        <v>388</v>
      </c>
      <c r="C67" s="14">
        <v>78</v>
      </c>
      <c r="D67" s="14">
        <v>77</v>
      </c>
      <c r="E67" s="14">
        <v>22</v>
      </c>
      <c r="F67" s="14">
        <v>68</v>
      </c>
      <c r="G67" s="14">
        <v>44</v>
      </c>
      <c r="H67" s="14">
        <f>SUM(C67:G67)</f>
        <v>289</v>
      </c>
      <c r="I67" s="14">
        <f>AVERAGE(C67:G67)</f>
        <v>57.8</v>
      </c>
      <c r="J67" s="14" t="str">
        <f>IF(I67&gt;90,"A++",IF(I67&gt;80,"A+",IF(I67&gt;70,"A",IF(I67&gt;60,"B",IF(I67&gt;35,"C","F")))))</f>
        <v>C</v>
      </c>
      <c r="K67" s="14" t="str">
        <f>IF(J67="F","Fail","Pass")</f>
        <v>Pass</v>
      </c>
      <c r="L67" s="14"/>
      <c r="M67" s="14">
        <f t="shared" ref="M67:M121" si="4">SUM(C67:G67)</f>
        <v>289</v>
      </c>
      <c r="N67" s="14">
        <f t="shared" ref="N67:N121" si="5">AVERAGE(C67:G67)</f>
        <v>57.8</v>
      </c>
      <c r="O67" s="14" t="str">
        <f t="shared" ref="O67:O121" si="6">IF(N67&gt;=90,"A++",IF(N67&gt;=80,"A+",IF(N67&gt;=70,"A",IF(N67&gt;=60,"B+",IF(N67&gt;=50,"B","F")))))</f>
        <v>B</v>
      </c>
      <c r="P67" s="14" t="str">
        <f t="shared" ref="P67:P121" si="7">IF(O67="F", "Fail","Pass")</f>
        <v>Pass</v>
      </c>
    </row>
    <row r="68" spans="1:16" x14ac:dyDescent="0.3">
      <c r="A68" s="14">
        <v>20</v>
      </c>
      <c r="B68" s="14" t="s">
        <v>317</v>
      </c>
      <c r="C68" s="14">
        <v>64</v>
      </c>
      <c r="D68" s="14">
        <v>81</v>
      </c>
      <c r="E68" s="14">
        <v>50</v>
      </c>
      <c r="F68" s="14">
        <v>37</v>
      </c>
      <c r="G68" s="14">
        <v>59</v>
      </c>
      <c r="H68" s="14">
        <f>SUM(C68:G68)</f>
        <v>291</v>
      </c>
      <c r="I68" s="14">
        <f>AVERAGE(C68:G68)</f>
        <v>58.2</v>
      </c>
      <c r="J68" s="14" t="str">
        <f>IF(I68&gt;90,"A++",IF(I68&gt;80,"A+",IF(I68&gt;70,"A",IF(I68&gt;60,"B",IF(I68&gt;35,"C","F")))))</f>
        <v>C</v>
      </c>
      <c r="K68" s="14" t="str">
        <f>IF(J68="F","Fail","Pass")</f>
        <v>Pass</v>
      </c>
      <c r="L68" s="14"/>
      <c r="M68" s="14">
        <f t="shared" si="4"/>
        <v>291</v>
      </c>
      <c r="N68" s="14">
        <f t="shared" si="5"/>
        <v>58.2</v>
      </c>
      <c r="O68" s="14" t="str">
        <f t="shared" si="6"/>
        <v>B</v>
      </c>
      <c r="P68" s="14" t="str">
        <f t="shared" si="7"/>
        <v>Pass</v>
      </c>
    </row>
    <row r="69" spans="1:16" ht="28.8" x14ac:dyDescent="0.3">
      <c r="A69" s="14">
        <v>82</v>
      </c>
      <c r="B69" s="14" t="s">
        <v>379</v>
      </c>
      <c r="C69" s="14">
        <v>97</v>
      </c>
      <c r="D69" s="14">
        <v>33</v>
      </c>
      <c r="E69" s="14">
        <v>31</v>
      </c>
      <c r="F69" s="14">
        <v>77</v>
      </c>
      <c r="G69" s="14">
        <v>53</v>
      </c>
      <c r="H69" s="14">
        <f>SUM(C69:G69)</f>
        <v>291</v>
      </c>
      <c r="I69" s="14">
        <f>AVERAGE(C69:G69)</f>
        <v>58.2</v>
      </c>
      <c r="J69" s="14" t="str">
        <f>IF(I69&gt;90,"A++",IF(I69&gt;80,"A+",IF(I69&gt;70,"A",IF(I69&gt;60,"B",IF(I69&gt;35,"C","F")))))</f>
        <v>C</v>
      </c>
      <c r="K69" s="14" t="str">
        <f>IF(J69="F","Fail","Pass")</f>
        <v>Pass</v>
      </c>
      <c r="L69" s="14"/>
      <c r="M69" s="14">
        <f t="shared" si="4"/>
        <v>291</v>
      </c>
      <c r="N69" s="14">
        <f t="shared" si="5"/>
        <v>58.2</v>
      </c>
      <c r="O69" s="14" t="str">
        <f t="shared" si="6"/>
        <v>B</v>
      </c>
      <c r="P69" s="14" t="str">
        <f t="shared" si="7"/>
        <v>Pass</v>
      </c>
    </row>
    <row r="70" spans="1:16" x14ac:dyDescent="0.3">
      <c r="A70" s="14">
        <v>9</v>
      </c>
      <c r="B70" s="14" t="s">
        <v>306</v>
      </c>
      <c r="C70" s="14">
        <v>33</v>
      </c>
      <c r="D70" s="14">
        <v>89</v>
      </c>
      <c r="E70" s="14">
        <v>55</v>
      </c>
      <c r="F70" s="14">
        <v>46</v>
      </c>
      <c r="G70" s="14">
        <v>69</v>
      </c>
      <c r="H70" s="14">
        <f>SUM(C70:G70)</f>
        <v>292</v>
      </c>
      <c r="I70" s="14">
        <f>AVERAGE(C70:G70)</f>
        <v>58.4</v>
      </c>
      <c r="J70" s="14" t="str">
        <f>IF(I70&gt;90,"A++",IF(I70&gt;80,"A+",IF(I70&gt;70,"A",IF(I70&gt;60,"B",IF(I70&gt;35,"C","F")))))</f>
        <v>C</v>
      </c>
      <c r="K70" s="14" t="str">
        <f>IF(J70="F","Fail","Pass")</f>
        <v>Pass</v>
      </c>
      <c r="L70" s="14"/>
      <c r="M70" s="14">
        <f t="shared" si="4"/>
        <v>292</v>
      </c>
      <c r="N70" s="14">
        <f t="shared" si="5"/>
        <v>58.4</v>
      </c>
      <c r="O70" s="14" t="str">
        <f t="shared" si="6"/>
        <v>B</v>
      </c>
      <c r="P70" s="14" t="str">
        <f t="shared" si="7"/>
        <v>Pass</v>
      </c>
    </row>
    <row r="71" spans="1:16" ht="28.8" x14ac:dyDescent="0.3">
      <c r="A71" s="14">
        <v>83</v>
      </c>
      <c r="B71" s="14" t="s">
        <v>380</v>
      </c>
      <c r="C71" s="14">
        <v>23</v>
      </c>
      <c r="D71" s="14">
        <v>65</v>
      </c>
      <c r="E71" s="14">
        <v>97</v>
      </c>
      <c r="F71" s="14">
        <v>69</v>
      </c>
      <c r="G71" s="14">
        <v>38</v>
      </c>
      <c r="H71" s="14">
        <f>SUM(C71:G71)</f>
        <v>292</v>
      </c>
      <c r="I71" s="14">
        <f>AVERAGE(C71:G71)</f>
        <v>58.4</v>
      </c>
      <c r="J71" s="14" t="str">
        <f>IF(I71&gt;90,"A++",IF(I71&gt;80,"A+",IF(I71&gt;70,"A",IF(I71&gt;60,"B",IF(I71&gt;35,"C","F")))))</f>
        <v>C</v>
      </c>
      <c r="K71" s="14" t="str">
        <f>IF(J71="F","Fail","Pass")</f>
        <v>Pass</v>
      </c>
      <c r="L71" s="14"/>
      <c r="M71" s="14">
        <f t="shared" si="4"/>
        <v>292</v>
      </c>
      <c r="N71" s="14">
        <f t="shared" si="5"/>
        <v>58.4</v>
      </c>
      <c r="O71" s="14" t="str">
        <f t="shared" si="6"/>
        <v>B</v>
      </c>
      <c r="P71" s="14" t="str">
        <f t="shared" si="7"/>
        <v>Pass</v>
      </c>
    </row>
    <row r="72" spans="1:16" ht="28.8" x14ac:dyDescent="0.3">
      <c r="A72" s="14">
        <v>43</v>
      </c>
      <c r="B72" s="14" t="s">
        <v>340</v>
      </c>
      <c r="C72" s="14">
        <v>40</v>
      </c>
      <c r="D72" s="14">
        <v>60</v>
      </c>
      <c r="E72" s="14">
        <v>85</v>
      </c>
      <c r="F72" s="14">
        <v>63</v>
      </c>
      <c r="G72" s="14">
        <v>50</v>
      </c>
      <c r="H72" s="14">
        <f>SUM(C72:G72)</f>
        <v>298</v>
      </c>
      <c r="I72" s="14">
        <f>AVERAGE(C72:G72)</f>
        <v>59.6</v>
      </c>
      <c r="J72" s="14" t="str">
        <f>IF(I72&gt;90,"A++",IF(I72&gt;80,"A+",IF(I72&gt;70,"A",IF(I72&gt;60,"B",IF(I72&gt;35,"C","F")))))</f>
        <v>C</v>
      </c>
      <c r="K72" s="14" t="str">
        <f>IF(J72="F","Fail","Pass")</f>
        <v>Pass</v>
      </c>
      <c r="L72" s="14"/>
      <c r="M72" s="14">
        <f t="shared" si="4"/>
        <v>298</v>
      </c>
      <c r="N72" s="14">
        <f t="shared" si="5"/>
        <v>59.6</v>
      </c>
      <c r="O72" s="14" t="str">
        <f t="shared" si="6"/>
        <v>B</v>
      </c>
      <c r="P72" s="14" t="str">
        <f t="shared" si="7"/>
        <v>Pass</v>
      </c>
    </row>
    <row r="73" spans="1:16" ht="28.8" x14ac:dyDescent="0.3">
      <c r="A73" s="14">
        <v>94</v>
      </c>
      <c r="B73" s="14" t="s">
        <v>391</v>
      </c>
      <c r="C73" s="14">
        <v>73</v>
      </c>
      <c r="D73" s="14">
        <v>31</v>
      </c>
      <c r="E73" s="14">
        <v>80</v>
      </c>
      <c r="F73" s="14">
        <v>73</v>
      </c>
      <c r="G73" s="14">
        <v>41</v>
      </c>
      <c r="H73" s="14">
        <f>SUM(C73:G73)</f>
        <v>298</v>
      </c>
      <c r="I73" s="14">
        <f>AVERAGE(C73:G73)</f>
        <v>59.6</v>
      </c>
      <c r="J73" s="14" t="str">
        <f>IF(I73&gt;90,"A++",IF(I73&gt;80,"A+",IF(I73&gt;70,"A",IF(I73&gt;60,"B",IF(I73&gt;35,"C","F")))))</f>
        <v>C</v>
      </c>
      <c r="K73" s="14" t="str">
        <f>IF(J73="F","Fail","Pass")</f>
        <v>Pass</v>
      </c>
      <c r="L73" s="14"/>
      <c r="M73" s="14">
        <f t="shared" si="4"/>
        <v>298</v>
      </c>
      <c r="N73" s="14">
        <f t="shared" si="5"/>
        <v>59.6</v>
      </c>
      <c r="O73" s="14" t="str">
        <f t="shared" si="6"/>
        <v>B</v>
      </c>
      <c r="P73" s="14" t="str">
        <f t="shared" si="7"/>
        <v>Pass</v>
      </c>
    </row>
    <row r="74" spans="1:16" ht="28.8" x14ac:dyDescent="0.3">
      <c r="A74" s="14">
        <v>103</v>
      </c>
      <c r="B74" s="14" t="s">
        <v>400</v>
      </c>
      <c r="C74" s="14">
        <v>67</v>
      </c>
      <c r="D74" s="14">
        <v>92</v>
      </c>
      <c r="E74" s="14">
        <v>23</v>
      </c>
      <c r="F74" s="14">
        <v>93</v>
      </c>
      <c r="G74" s="14">
        <v>27</v>
      </c>
      <c r="H74" s="14">
        <f>SUM(C74:G74)</f>
        <v>302</v>
      </c>
      <c r="I74" s="14">
        <f>AVERAGE(C74:G74)</f>
        <v>60.4</v>
      </c>
      <c r="J74" s="14" t="str">
        <f>IF(I74&gt;90,"A++",IF(I74&gt;80,"A+",IF(I74&gt;70,"A",IF(I74&gt;60,"B",IF(I74&gt;35,"C","F")))))</f>
        <v>B</v>
      </c>
      <c r="K74" s="14" t="str">
        <f>IF(J74="F","Fail","Pass")</f>
        <v>Pass</v>
      </c>
      <c r="L74" s="14"/>
      <c r="M74" s="14">
        <f t="shared" si="4"/>
        <v>302</v>
      </c>
      <c r="N74" s="14">
        <f t="shared" si="5"/>
        <v>60.4</v>
      </c>
      <c r="O74" s="14" t="str">
        <f t="shared" si="6"/>
        <v>B+</v>
      </c>
      <c r="P74" s="14" t="str">
        <f t="shared" si="7"/>
        <v>Pass</v>
      </c>
    </row>
    <row r="75" spans="1:16" ht="28.8" x14ac:dyDescent="0.3">
      <c r="A75" s="14">
        <v>85</v>
      </c>
      <c r="B75" s="14" t="s">
        <v>382</v>
      </c>
      <c r="C75" s="14">
        <v>85</v>
      </c>
      <c r="D75" s="14">
        <v>91</v>
      </c>
      <c r="E75" s="14">
        <v>80</v>
      </c>
      <c r="F75" s="14">
        <v>30</v>
      </c>
      <c r="G75" s="14">
        <v>17</v>
      </c>
      <c r="H75" s="14">
        <f>SUM(C75:G75)</f>
        <v>303</v>
      </c>
      <c r="I75" s="14">
        <f>AVERAGE(C75:G75)</f>
        <v>60.6</v>
      </c>
      <c r="J75" s="14" t="str">
        <f>IF(I75&gt;90,"A++",IF(I75&gt;80,"A+",IF(I75&gt;70,"A",IF(I75&gt;60,"B",IF(I75&gt;35,"C","F")))))</f>
        <v>B</v>
      </c>
      <c r="K75" s="14" t="str">
        <f>IF(J75="F","Fail","Pass")</f>
        <v>Pass</v>
      </c>
      <c r="L75" s="14"/>
      <c r="M75" s="14">
        <f t="shared" si="4"/>
        <v>303</v>
      </c>
      <c r="N75" s="14">
        <f t="shared" si="5"/>
        <v>60.6</v>
      </c>
      <c r="O75" s="14" t="str">
        <f t="shared" si="6"/>
        <v>B+</v>
      </c>
      <c r="P75" s="14" t="str">
        <f t="shared" si="7"/>
        <v>Pass</v>
      </c>
    </row>
    <row r="76" spans="1:16" x14ac:dyDescent="0.3">
      <c r="A76" s="14">
        <v>17</v>
      </c>
      <c r="B76" s="14" t="s">
        <v>314</v>
      </c>
      <c r="C76" s="14">
        <v>84</v>
      </c>
      <c r="D76" s="14">
        <v>17</v>
      </c>
      <c r="E76" s="14">
        <v>63</v>
      </c>
      <c r="F76" s="14">
        <v>77</v>
      </c>
      <c r="G76" s="14">
        <v>69</v>
      </c>
      <c r="H76" s="14">
        <f>SUM(C76:G76)</f>
        <v>310</v>
      </c>
      <c r="I76" s="14">
        <f>AVERAGE(C76:G76)</f>
        <v>62</v>
      </c>
      <c r="J76" s="14" t="str">
        <f>IF(I76&gt;90,"A++",IF(I76&gt;80,"A+",IF(I76&gt;70,"A",IF(I76&gt;60,"B",IF(I76&gt;35,"C","F")))))</f>
        <v>B</v>
      </c>
      <c r="K76" s="14" t="str">
        <f>IF(J76="F","Fail","Pass")</f>
        <v>Pass</v>
      </c>
      <c r="L76" s="14"/>
      <c r="M76" s="14">
        <f t="shared" si="4"/>
        <v>310</v>
      </c>
      <c r="N76" s="14">
        <f t="shared" si="5"/>
        <v>62</v>
      </c>
      <c r="O76" s="14" t="str">
        <f t="shared" si="6"/>
        <v>B+</v>
      </c>
      <c r="P76" s="14" t="str">
        <f t="shared" si="7"/>
        <v>Pass</v>
      </c>
    </row>
    <row r="77" spans="1:16" x14ac:dyDescent="0.3">
      <c r="A77" s="14">
        <v>10</v>
      </c>
      <c r="B77" s="14" t="s">
        <v>307</v>
      </c>
      <c r="C77" s="14">
        <v>21</v>
      </c>
      <c r="D77" s="14">
        <v>27</v>
      </c>
      <c r="E77" s="14">
        <v>84</v>
      </c>
      <c r="F77" s="14">
        <v>82</v>
      </c>
      <c r="G77" s="14">
        <v>96</v>
      </c>
      <c r="H77" s="14">
        <f>SUM(C77:G77)</f>
        <v>310</v>
      </c>
      <c r="I77" s="14">
        <f>AVERAGE(C77:G77)</f>
        <v>62</v>
      </c>
      <c r="J77" s="14" t="str">
        <f>IF(I77&gt;90,"A++",IF(I77&gt;80,"A+",IF(I77&gt;70,"A",IF(I77&gt;60,"B",IF(I77&gt;35,"C","F")))))</f>
        <v>B</v>
      </c>
      <c r="K77" s="14" t="str">
        <f>IF(J77="F","Fail","Pass")</f>
        <v>Pass</v>
      </c>
      <c r="L77" s="14"/>
      <c r="M77" s="14">
        <f t="shared" si="4"/>
        <v>310</v>
      </c>
      <c r="N77" s="14">
        <f t="shared" si="5"/>
        <v>62</v>
      </c>
      <c r="O77" s="14" t="str">
        <f t="shared" si="6"/>
        <v>B+</v>
      </c>
      <c r="P77" s="14" t="str">
        <f t="shared" si="7"/>
        <v>Pass</v>
      </c>
    </row>
    <row r="78" spans="1:16" ht="43.2" x14ac:dyDescent="0.3">
      <c r="A78" s="14">
        <v>75</v>
      </c>
      <c r="B78" s="14" t="s">
        <v>372</v>
      </c>
      <c r="C78" s="14">
        <v>73</v>
      </c>
      <c r="D78" s="14">
        <v>34</v>
      </c>
      <c r="E78" s="14">
        <v>85</v>
      </c>
      <c r="F78" s="14">
        <v>53</v>
      </c>
      <c r="G78" s="14">
        <v>65</v>
      </c>
      <c r="H78" s="14">
        <f>SUM(C78:G78)</f>
        <v>310</v>
      </c>
      <c r="I78" s="14">
        <f>AVERAGE(C78:G78)</f>
        <v>62</v>
      </c>
      <c r="J78" s="14" t="str">
        <f>IF(I78&gt;90,"A++",IF(I78&gt;80,"A+",IF(I78&gt;70,"A",IF(I78&gt;60,"B",IF(I78&gt;35,"C","F")))))</f>
        <v>B</v>
      </c>
      <c r="K78" s="14" t="str">
        <f>IF(J78="F","Fail","Pass")</f>
        <v>Pass</v>
      </c>
      <c r="L78" s="14"/>
      <c r="M78" s="14">
        <f t="shared" si="4"/>
        <v>310</v>
      </c>
      <c r="N78" s="14">
        <f t="shared" si="5"/>
        <v>62</v>
      </c>
      <c r="O78" s="14" t="str">
        <f t="shared" si="6"/>
        <v>B+</v>
      </c>
      <c r="P78" s="14" t="str">
        <f t="shared" si="7"/>
        <v>Pass</v>
      </c>
    </row>
    <row r="79" spans="1:16" x14ac:dyDescent="0.3">
      <c r="A79" s="14">
        <v>72</v>
      </c>
      <c r="B79" s="14" t="s">
        <v>369</v>
      </c>
      <c r="C79" s="14">
        <v>77</v>
      </c>
      <c r="D79" s="14">
        <v>88</v>
      </c>
      <c r="E79" s="14">
        <v>73</v>
      </c>
      <c r="F79" s="14">
        <v>10</v>
      </c>
      <c r="G79" s="14">
        <v>64</v>
      </c>
      <c r="H79" s="14">
        <f>SUM(C79:G79)</f>
        <v>312</v>
      </c>
      <c r="I79" s="14">
        <f>AVERAGE(C79:G79)</f>
        <v>62.4</v>
      </c>
      <c r="J79" s="14" t="str">
        <f>IF(I79&gt;90,"A++",IF(I79&gt;80,"A+",IF(I79&gt;70,"A",IF(I79&gt;60,"B",IF(I79&gt;35,"C","F")))))</f>
        <v>B</v>
      </c>
      <c r="K79" s="14" t="str">
        <f>IF(J79="F","Fail","Pass")</f>
        <v>Pass</v>
      </c>
      <c r="L79" s="14"/>
      <c r="M79" s="14">
        <f t="shared" si="4"/>
        <v>312</v>
      </c>
      <c r="N79" s="14">
        <f t="shared" si="5"/>
        <v>62.4</v>
      </c>
      <c r="O79" s="14" t="str">
        <f t="shared" si="6"/>
        <v>B+</v>
      </c>
      <c r="P79" s="14" t="str">
        <f t="shared" si="7"/>
        <v>Pass</v>
      </c>
    </row>
    <row r="80" spans="1:16" ht="28.8" x14ac:dyDescent="0.3">
      <c r="A80" s="14">
        <v>53</v>
      </c>
      <c r="B80" s="14" t="s">
        <v>350</v>
      </c>
      <c r="C80" s="14">
        <v>76</v>
      </c>
      <c r="D80" s="14">
        <v>48</v>
      </c>
      <c r="E80" s="14">
        <v>27</v>
      </c>
      <c r="F80" s="14">
        <v>69</v>
      </c>
      <c r="G80" s="14">
        <v>92</v>
      </c>
      <c r="H80" s="14">
        <f>SUM(C80:G80)</f>
        <v>312</v>
      </c>
      <c r="I80" s="14">
        <f>AVERAGE(C80:G80)</f>
        <v>62.4</v>
      </c>
      <c r="J80" s="14" t="str">
        <f>IF(I80&gt;90,"A++",IF(I80&gt;80,"A+",IF(I80&gt;70,"A",IF(I80&gt;60,"B",IF(I80&gt;35,"C","F")))))</f>
        <v>B</v>
      </c>
      <c r="K80" s="14" t="str">
        <f>IF(J80="F","Fail","Pass")</f>
        <v>Pass</v>
      </c>
      <c r="L80" s="14"/>
      <c r="M80" s="14">
        <f t="shared" si="4"/>
        <v>312</v>
      </c>
      <c r="N80" s="14">
        <f t="shared" si="5"/>
        <v>62.4</v>
      </c>
      <c r="O80" s="14" t="str">
        <f t="shared" si="6"/>
        <v>B+</v>
      </c>
      <c r="P80" s="14" t="str">
        <f t="shared" si="7"/>
        <v>Pass</v>
      </c>
    </row>
    <row r="81" spans="1:16" x14ac:dyDescent="0.3">
      <c r="A81" s="14">
        <v>15</v>
      </c>
      <c r="B81" s="14" t="s">
        <v>312</v>
      </c>
      <c r="C81" s="14">
        <v>69</v>
      </c>
      <c r="D81" s="14">
        <v>35</v>
      </c>
      <c r="E81" s="14">
        <v>64</v>
      </c>
      <c r="F81" s="14">
        <v>90</v>
      </c>
      <c r="G81" s="14">
        <v>55</v>
      </c>
      <c r="H81" s="14">
        <f>SUM(C81:G81)</f>
        <v>313</v>
      </c>
      <c r="I81" s="14">
        <f>AVERAGE(C81:G81)</f>
        <v>62.6</v>
      </c>
      <c r="J81" s="14" t="str">
        <f>IF(I81&gt;90,"A++",IF(I81&gt;80,"A+",IF(I81&gt;70,"A",IF(I81&gt;60,"B",IF(I81&gt;35,"C","F")))))</f>
        <v>B</v>
      </c>
      <c r="K81" s="14" t="str">
        <f>IF(J81="F","Fail","Pass")</f>
        <v>Pass</v>
      </c>
      <c r="L81" s="14"/>
      <c r="M81" s="14">
        <f t="shared" si="4"/>
        <v>313</v>
      </c>
      <c r="N81" s="14">
        <f t="shared" si="5"/>
        <v>62.6</v>
      </c>
      <c r="O81" s="14" t="str">
        <f t="shared" si="6"/>
        <v>B+</v>
      </c>
      <c r="P81" s="14" t="str">
        <f t="shared" si="7"/>
        <v>Pass</v>
      </c>
    </row>
    <row r="82" spans="1:16" ht="28.8" x14ac:dyDescent="0.3">
      <c r="A82" s="14">
        <v>107</v>
      </c>
      <c r="B82" s="14" t="s">
        <v>404</v>
      </c>
      <c r="C82" s="14">
        <v>70</v>
      </c>
      <c r="D82" s="14">
        <v>88</v>
      </c>
      <c r="E82" s="14">
        <v>31</v>
      </c>
      <c r="F82" s="14">
        <v>64</v>
      </c>
      <c r="G82" s="14">
        <v>63</v>
      </c>
      <c r="H82" s="14">
        <f>SUM(C82:G82)</f>
        <v>316</v>
      </c>
      <c r="I82" s="14">
        <f>AVERAGE(C82:G82)</f>
        <v>63.2</v>
      </c>
      <c r="J82" s="14" t="str">
        <f>IF(I82&gt;90,"A++",IF(I82&gt;80,"A+",IF(I82&gt;70,"A",IF(I82&gt;60,"B",IF(I82&gt;35,"C","F")))))</f>
        <v>B</v>
      </c>
      <c r="K82" s="14" t="str">
        <f>IF(J82="F","Fail","Pass")</f>
        <v>Pass</v>
      </c>
      <c r="L82" s="14"/>
      <c r="M82" s="14">
        <f t="shared" si="4"/>
        <v>316</v>
      </c>
      <c r="N82" s="14">
        <f t="shared" si="5"/>
        <v>63.2</v>
      </c>
      <c r="O82" s="14" t="str">
        <f t="shared" si="6"/>
        <v>B+</v>
      </c>
      <c r="P82" s="14" t="str">
        <f t="shared" si="7"/>
        <v>Pass</v>
      </c>
    </row>
    <row r="83" spans="1:16" ht="28.8" x14ac:dyDescent="0.3">
      <c r="A83" s="14">
        <v>84</v>
      </c>
      <c r="B83" s="14" t="s">
        <v>381</v>
      </c>
      <c r="C83" s="14">
        <v>82</v>
      </c>
      <c r="D83" s="14">
        <v>92</v>
      </c>
      <c r="E83" s="14">
        <v>71</v>
      </c>
      <c r="F83" s="14">
        <v>56</v>
      </c>
      <c r="G83" s="14">
        <v>16</v>
      </c>
      <c r="H83" s="14">
        <f>SUM(C83:G83)</f>
        <v>317</v>
      </c>
      <c r="I83" s="14">
        <f>AVERAGE(C83:G83)</f>
        <v>63.4</v>
      </c>
      <c r="J83" s="14" t="str">
        <f>IF(I83&gt;90,"A++",IF(I83&gt;80,"A+",IF(I83&gt;70,"A",IF(I83&gt;60,"B",IF(I83&gt;35,"C","F")))))</f>
        <v>B</v>
      </c>
      <c r="K83" s="14" t="str">
        <f>IF(J83="F","Fail","Pass")</f>
        <v>Pass</v>
      </c>
      <c r="L83" s="14"/>
      <c r="M83" s="14">
        <f t="shared" si="4"/>
        <v>317</v>
      </c>
      <c r="N83" s="14">
        <f t="shared" si="5"/>
        <v>63.4</v>
      </c>
      <c r="O83" s="14" t="str">
        <f t="shared" si="6"/>
        <v>B+</v>
      </c>
      <c r="P83" s="14" t="str">
        <f t="shared" si="7"/>
        <v>Pass</v>
      </c>
    </row>
    <row r="84" spans="1:16" x14ac:dyDescent="0.3">
      <c r="A84" s="14">
        <v>24</v>
      </c>
      <c r="B84" s="14" t="s">
        <v>321</v>
      </c>
      <c r="C84" s="14">
        <v>87</v>
      </c>
      <c r="D84" s="14">
        <v>69</v>
      </c>
      <c r="E84" s="14">
        <v>42</v>
      </c>
      <c r="F84" s="14">
        <v>52</v>
      </c>
      <c r="G84" s="14">
        <v>67</v>
      </c>
      <c r="H84" s="14">
        <f>SUM(C84:G84)</f>
        <v>317</v>
      </c>
      <c r="I84" s="14">
        <f>AVERAGE(C84:G84)</f>
        <v>63.4</v>
      </c>
      <c r="J84" s="14" t="str">
        <f>IF(I84&gt;90,"A++",IF(I84&gt;80,"A+",IF(I84&gt;70,"A",IF(I84&gt;60,"B",IF(I84&gt;35,"C","F")))))</f>
        <v>B</v>
      </c>
      <c r="K84" s="14" t="str">
        <f>IF(J84="F","Fail","Pass")</f>
        <v>Pass</v>
      </c>
      <c r="L84" s="14"/>
      <c r="M84" s="14">
        <f t="shared" si="4"/>
        <v>317</v>
      </c>
      <c r="N84" s="14">
        <f t="shared" si="5"/>
        <v>63.4</v>
      </c>
      <c r="O84" s="14" t="str">
        <f t="shared" si="6"/>
        <v>B+</v>
      </c>
      <c r="P84" s="14" t="str">
        <f t="shared" si="7"/>
        <v>Pass</v>
      </c>
    </row>
    <row r="85" spans="1:16" ht="28.8" x14ac:dyDescent="0.3">
      <c r="A85" s="14">
        <v>48</v>
      </c>
      <c r="B85" s="14" t="s">
        <v>345</v>
      </c>
      <c r="C85" s="14">
        <v>96</v>
      </c>
      <c r="D85" s="14">
        <v>34</v>
      </c>
      <c r="E85" s="14">
        <v>36</v>
      </c>
      <c r="F85" s="14">
        <v>73</v>
      </c>
      <c r="G85" s="14">
        <v>78</v>
      </c>
      <c r="H85" s="14">
        <f>SUM(C85:G85)</f>
        <v>317</v>
      </c>
      <c r="I85" s="14">
        <f>AVERAGE(C85:G85)</f>
        <v>63.4</v>
      </c>
      <c r="J85" s="14" t="str">
        <f>IF(I85&gt;90,"A++",IF(I85&gt;80,"A+",IF(I85&gt;70,"A",IF(I85&gt;60,"B",IF(I85&gt;35,"C","F")))))</f>
        <v>B</v>
      </c>
      <c r="K85" s="14" t="str">
        <f>IF(J85="F","Fail","Pass")</f>
        <v>Pass</v>
      </c>
      <c r="L85" s="14"/>
      <c r="M85" s="14">
        <f t="shared" si="4"/>
        <v>317</v>
      </c>
      <c r="N85" s="14">
        <f t="shared" si="5"/>
        <v>63.4</v>
      </c>
      <c r="O85" s="14" t="str">
        <f t="shared" si="6"/>
        <v>B+</v>
      </c>
      <c r="P85" s="14" t="str">
        <f t="shared" si="7"/>
        <v>Pass</v>
      </c>
    </row>
    <row r="86" spans="1:16" ht="28.8" x14ac:dyDescent="0.3">
      <c r="A86" s="14">
        <v>45</v>
      </c>
      <c r="B86" s="14" t="s">
        <v>342</v>
      </c>
      <c r="C86" s="14">
        <v>75</v>
      </c>
      <c r="D86" s="14">
        <v>79</v>
      </c>
      <c r="E86" s="14">
        <v>18</v>
      </c>
      <c r="F86" s="14">
        <v>53</v>
      </c>
      <c r="G86" s="14">
        <v>95</v>
      </c>
      <c r="H86" s="14">
        <f>SUM(C86:G86)</f>
        <v>320</v>
      </c>
      <c r="I86" s="14">
        <f>AVERAGE(C86:G86)</f>
        <v>64</v>
      </c>
      <c r="J86" s="14" t="str">
        <f>IF(I86&gt;90,"A++",IF(I86&gt;80,"A+",IF(I86&gt;70,"A",IF(I86&gt;60,"B",IF(I86&gt;35,"C","F")))))</f>
        <v>B</v>
      </c>
      <c r="K86" s="14" t="str">
        <f>IF(J86="F","Fail","Pass")</f>
        <v>Pass</v>
      </c>
      <c r="L86" s="14"/>
      <c r="M86" s="14">
        <f t="shared" si="4"/>
        <v>320</v>
      </c>
      <c r="N86" s="14">
        <f t="shared" si="5"/>
        <v>64</v>
      </c>
      <c r="O86" s="14" t="str">
        <f t="shared" si="6"/>
        <v>B+</v>
      </c>
      <c r="P86" s="14" t="str">
        <f t="shared" si="7"/>
        <v>Pass</v>
      </c>
    </row>
    <row r="87" spans="1:16" x14ac:dyDescent="0.3">
      <c r="A87" s="14">
        <v>14</v>
      </c>
      <c r="B87" s="14" t="s">
        <v>311</v>
      </c>
      <c r="C87" s="14">
        <v>75</v>
      </c>
      <c r="D87" s="14">
        <v>61</v>
      </c>
      <c r="E87" s="14">
        <v>78</v>
      </c>
      <c r="F87" s="14">
        <v>30</v>
      </c>
      <c r="G87" s="14">
        <v>78</v>
      </c>
      <c r="H87" s="14">
        <f>SUM(C87:G87)</f>
        <v>322</v>
      </c>
      <c r="I87" s="14">
        <f>AVERAGE(C87:G87)</f>
        <v>64.400000000000006</v>
      </c>
      <c r="J87" s="14" t="str">
        <f>IF(I87&gt;90,"A++",IF(I87&gt;80,"A+",IF(I87&gt;70,"A",IF(I87&gt;60,"B",IF(I87&gt;35,"C","F")))))</f>
        <v>B</v>
      </c>
      <c r="K87" s="14" t="str">
        <f>IF(J87="F","Fail","Pass")</f>
        <v>Pass</v>
      </c>
      <c r="L87" s="14"/>
      <c r="M87" s="14">
        <f t="shared" si="4"/>
        <v>322</v>
      </c>
      <c r="N87" s="14">
        <f t="shared" si="5"/>
        <v>64.400000000000006</v>
      </c>
      <c r="O87" s="14" t="str">
        <f t="shared" si="6"/>
        <v>B+</v>
      </c>
      <c r="P87" s="14" t="str">
        <f t="shared" si="7"/>
        <v>Pass</v>
      </c>
    </row>
    <row r="88" spans="1:16" x14ac:dyDescent="0.3">
      <c r="A88" s="14">
        <v>21</v>
      </c>
      <c r="B88" s="14" t="s">
        <v>318</v>
      </c>
      <c r="C88" s="14">
        <v>61</v>
      </c>
      <c r="D88" s="14">
        <v>36</v>
      </c>
      <c r="E88" s="14">
        <v>59</v>
      </c>
      <c r="F88" s="14">
        <v>98</v>
      </c>
      <c r="G88" s="14">
        <v>68</v>
      </c>
      <c r="H88" s="14">
        <f>SUM(C88:G88)</f>
        <v>322</v>
      </c>
      <c r="I88" s="14">
        <f>AVERAGE(C88:G88)</f>
        <v>64.400000000000006</v>
      </c>
      <c r="J88" s="14" t="str">
        <f>IF(I88&gt;90,"A++",IF(I88&gt;80,"A+",IF(I88&gt;70,"A",IF(I88&gt;60,"B",IF(I88&gt;35,"C","F")))))</f>
        <v>B</v>
      </c>
      <c r="K88" s="14" t="str">
        <f>IF(J88="F","Fail","Pass")</f>
        <v>Pass</v>
      </c>
      <c r="L88" s="14"/>
      <c r="M88" s="14">
        <f t="shared" si="4"/>
        <v>322</v>
      </c>
      <c r="N88" s="14">
        <f t="shared" si="5"/>
        <v>64.400000000000006</v>
      </c>
      <c r="O88" s="14" t="str">
        <f t="shared" si="6"/>
        <v>B+</v>
      </c>
      <c r="P88" s="14" t="str">
        <f t="shared" si="7"/>
        <v>Pass</v>
      </c>
    </row>
    <row r="89" spans="1:16" ht="28.8" x14ac:dyDescent="0.3">
      <c r="A89" s="14">
        <v>68</v>
      </c>
      <c r="B89" s="14" t="s">
        <v>365</v>
      </c>
      <c r="C89" s="14">
        <v>80</v>
      </c>
      <c r="D89" s="14">
        <v>50</v>
      </c>
      <c r="E89" s="14">
        <v>33</v>
      </c>
      <c r="F89" s="14">
        <v>69</v>
      </c>
      <c r="G89" s="14">
        <v>90</v>
      </c>
      <c r="H89" s="14">
        <f>SUM(C89:G89)</f>
        <v>322</v>
      </c>
      <c r="I89" s="14">
        <f>AVERAGE(C89:G89)</f>
        <v>64.400000000000006</v>
      </c>
      <c r="J89" s="14" t="str">
        <f>IF(I89&gt;90,"A++",IF(I89&gt;80,"A+",IF(I89&gt;70,"A",IF(I89&gt;60,"B",IF(I89&gt;35,"C","F")))))</f>
        <v>B</v>
      </c>
      <c r="K89" s="14" t="str">
        <f>IF(J89="F","Fail","Pass")</f>
        <v>Pass</v>
      </c>
      <c r="L89" s="14"/>
      <c r="M89" s="14">
        <f t="shared" si="4"/>
        <v>322</v>
      </c>
      <c r="N89" s="14">
        <f t="shared" si="5"/>
        <v>64.400000000000006</v>
      </c>
      <c r="O89" s="14" t="str">
        <f t="shared" si="6"/>
        <v>B+</v>
      </c>
      <c r="P89" s="14" t="str">
        <f t="shared" si="7"/>
        <v>Pass</v>
      </c>
    </row>
    <row r="90" spans="1:16" x14ac:dyDescent="0.3">
      <c r="A90" s="14">
        <v>12</v>
      </c>
      <c r="B90" s="14" t="s">
        <v>309</v>
      </c>
      <c r="C90" s="14">
        <v>85</v>
      </c>
      <c r="D90" s="14">
        <v>74</v>
      </c>
      <c r="E90" s="14">
        <v>26</v>
      </c>
      <c r="F90" s="14">
        <v>53</v>
      </c>
      <c r="G90" s="14">
        <v>84</v>
      </c>
      <c r="H90" s="14">
        <f>SUM(C90:G90)</f>
        <v>322</v>
      </c>
      <c r="I90" s="14">
        <f>AVERAGE(C90:G90)</f>
        <v>64.400000000000006</v>
      </c>
      <c r="J90" s="14" t="str">
        <f>IF(I90&gt;90,"A++",IF(I90&gt;80,"A+",IF(I90&gt;70,"A",IF(I90&gt;60,"B",IF(I90&gt;35,"C","F")))))</f>
        <v>B</v>
      </c>
      <c r="K90" s="14" t="str">
        <f>IF(J90="F","Fail","Pass")</f>
        <v>Pass</v>
      </c>
      <c r="L90" s="14"/>
      <c r="M90" s="14">
        <f t="shared" si="4"/>
        <v>322</v>
      </c>
      <c r="N90" s="14">
        <f t="shared" si="5"/>
        <v>64.400000000000006</v>
      </c>
      <c r="O90" s="14" t="str">
        <f t="shared" si="6"/>
        <v>B+</v>
      </c>
      <c r="P90" s="14" t="str">
        <f t="shared" si="7"/>
        <v>Pass</v>
      </c>
    </row>
    <row r="91" spans="1:16" ht="28.8" x14ac:dyDescent="0.3">
      <c r="A91" s="14">
        <v>99</v>
      </c>
      <c r="B91" s="14" t="s">
        <v>396</v>
      </c>
      <c r="C91" s="14">
        <v>68</v>
      </c>
      <c r="D91" s="14">
        <v>88</v>
      </c>
      <c r="E91" s="14">
        <v>49</v>
      </c>
      <c r="F91" s="14">
        <v>96</v>
      </c>
      <c r="G91" s="14">
        <v>23</v>
      </c>
      <c r="H91" s="14">
        <f>SUM(C91:G91)</f>
        <v>324</v>
      </c>
      <c r="I91" s="14">
        <f>AVERAGE(C91:G91)</f>
        <v>64.8</v>
      </c>
      <c r="J91" s="14" t="str">
        <f>IF(I91&gt;90,"A++",IF(I91&gt;80,"A+",IF(I91&gt;70,"A",IF(I91&gt;60,"B",IF(I91&gt;35,"C","F")))))</f>
        <v>B</v>
      </c>
      <c r="K91" s="14" t="str">
        <f>IF(J91="F","Fail","Pass")</f>
        <v>Pass</v>
      </c>
      <c r="L91" s="14"/>
      <c r="M91" s="14">
        <f t="shared" si="4"/>
        <v>324</v>
      </c>
      <c r="N91" s="14">
        <f t="shared" si="5"/>
        <v>64.8</v>
      </c>
      <c r="O91" s="14" t="str">
        <f t="shared" si="6"/>
        <v>B+</v>
      </c>
      <c r="P91" s="14" t="str">
        <f t="shared" si="7"/>
        <v>Pass</v>
      </c>
    </row>
    <row r="92" spans="1:16" ht="28.8" x14ac:dyDescent="0.3">
      <c r="A92" s="14">
        <v>69</v>
      </c>
      <c r="B92" s="14" t="s">
        <v>366</v>
      </c>
      <c r="C92" s="14">
        <v>30</v>
      </c>
      <c r="D92" s="14">
        <v>98</v>
      </c>
      <c r="E92" s="14">
        <v>78</v>
      </c>
      <c r="F92" s="14">
        <v>23</v>
      </c>
      <c r="G92" s="14">
        <v>96</v>
      </c>
      <c r="H92" s="14">
        <f>SUM(C92:G92)</f>
        <v>325</v>
      </c>
      <c r="I92" s="14">
        <f>AVERAGE(C92:G92)</f>
        <v>65</v>
      </c>
      <c r="J92" s="14" t="str">
        <f>IF(I92&gt;90,"A++",IF(I92&gt;80,"A+",IF(I92&gt;70,"A",IF(I92&gt;60,"B",IF(I92&gt;35,"C","F")))))</f>
        <v>B</v>
      </c>
      <c r="K92" s="14" t="str">
        <f>IF(J92="F","Fail","Pass")</f>
        <v>Pass</v>
      </c>
      <c r="L92" s="14"/>
      <c r="M92" s="14">
        <f t="shared" si="4"/>
        <v>325</v>
      </c>
      <c r="N92" s="14">
        <f t="shared" si="5"/>
        <v>65</v>
      </c>
      <c r="O92" s="14" t="str">
        <f t="shared" si="6"/>
        <v>B+</v>
      </c>
      <c r="P92" s="14" t="str">
        <f t="shared" si="7"/>
        <v>Pass</v>
      </c>
    </row>
    <row r="93" spans="1:16" ht="28.8" x14ac:dyDescent="0.3">
      <c r="A93" s="14">
        <v>96</v>
      </c>
      <c r="B93" s="14" t="s">
        <v>393</v>
      </c>
      <c r="C93" s="14">
        <v>87</v>
      </c>
      <c r="D93" s="14">
        <v>69</v>
      </c>
      <c r="E93" s="14">
        <v>17</v>
      </c>
      <c r="F93" s="14">
        <v>54</v>
      </c>
      <c r="G93" s="14">
        <v>99</v>
      </c>
      <c r="H93" s="14">
        <f>SUM(C93:G93)</f>
        <v>326</v>
      </c>
      <c r="I93" s="14">
        <f>AVERAGE(C93:G93)</f>
        <v>65.2</v>
      </c>
      <c r="J93" s="14" t="str">
        <f>IF(I93&gt;90,"A++",IF(I93&gt;80,"A+",IF(I93&gt;70,"A",IF(I93&gt;60,"B",IF(I93&gt;35,"C","F")))))</f>
        <v>B</v>
      </c>
      <c r="K93" s="14" t="str">
        <f>IF(J93="F","Fail","Pass")</f>
        <v>Pass</v>
      </c>
      <c r="L93" s="14"/>
      <c r="M93" s="14">
        <f t="shared" si="4"/>
        <v>326</v>
      </c>
      <c r="N93" s="14">
        <f t="shared" si="5"/>
        <v>65.2</v>
      </c>
      <c r="O93" s="14" t="str">
        <f t="shared" si="6"/>
        <v>B+</v>
      </c>
      <c r="P93" s="14" t="str">
        <f t="shared" si="7"/>
        <v>Pass</v>
      </c>
    </row>
    <row r="94" spans="1:16" x14ac:dyDescent="0.3">
      <c r="A94" s="14">
        <v>26</v>
      </c>
      <c r="B94" s="14" t="s">
        <v>323</v>
      </c>
      <c r="C94" s="14">
        <v>50</v>
      </c>
      <c r="D94" s="14">
        <v>95</v>
      </c>
      <c r="E94" s="14">
        <v>93</v>
      </c>
      <c r="F94" s="14">
        <v>57</v>
      </c>
      <c r="G94" s="14">
        <v>31</v>
      </c>
      <c r="H94" s="14">
        <f>SUM(C94:G94)</f>
        <v>326</v>
      </c>
      <c r="I94" s="14">
        <f>AVERAGE(C94:G94)</f>
        <v>65.2</v>
      </c>
      <c r="J94" s="14" t="str">
        <f>IF(I94&gt;90,"A++",IF(I94&gt;80,"A+",IF(I94&gt;70,"A",IF(I94&gt;60,"B",IF(I94&gt;35,"C","F")))))</f>
        <v>B</v>
      </c>
      <c r="K94" s="14" t="str">
        <f>IF(J94="F","Fail","Pass")</f>
        <v>Pass</v>
      </c>
      <c r="L94" s="14"/>
      <c r="M94" s="14">
        <f t="shared" si="4"/>
        <v>326</v>
      </c>
      <c r="N94" s="14">
        <f t="shared" si="5"/>
        <v>65.2</v>
      </c>
      <c r="O94" s="14" t="str">
        <f t="shared" si="6"/>
        <v>B+</v>
      </c>
      <c r="P94" s="14" t="str">
        <f t="shared" si="7"/>
        <v>Pass</v>
      </c>
    </row>
    <row r="95" spans="1:16" ht="28.8" x14ac:dyDescent="0.3">
      <c r="A95" s="14">
        <v>100</v>
      </c>
      <c r="B95" s="14" t="s">
        <v>397</v>
      </c>
      <c r="C95" s="14">
        <v>50</v>
      </c>
      <c r="D95" s="14">
        <v>73</v>
      </c>
      <c r="E95" s="14">
        <v>61</v>
      </c>
      <c r="F95" s="14">
        <v>57</v>
      </c>
      <c r="G95" s="14">
        <v>87</v>
      </c>
      <c r="H95" s="14">
        <f>SUM(C95:G95)</f>
        <v>328</v>
      </c>
      <c r="I95" s="14">
        <f>AVERAGE(C95:G95)</f>
        <v>65.599999999999994</v>
      </c>
      <c r="J95" s="14" t="str">
        <f>IF(I95&gt;90,"A++",IF(I95&gt;80,"A+",IF(I95&gt;70,"A",IF(I95&gt;60,"B",IF(I95&gt;35,"C","F")))))</f>
        <v>B</v>
      </c>
      <c r="K95" s="14" t="str">
        <f>IF(J95="F","Fail","Pass")</f>
        <v>Pass</v>
      </c>
      <c r="L95" s="14"/>
      <c r="M95" s="14">
        <f t="shared" si="4"/>
        <v>328</v>
      </c>
      <c r="N95" s="14">
        <f t="shared" si="5"/>
        <v>65.599999999999994</v>
      </c>
      <c r="O95" s="14" t="str">
        <f t="shared" si="6"/>
        <v>B+</v>
      </c>
      <c r="P95" s="14" t="str">
        <f t="shared" si="7"/>
        <v>Pass</v>
      </c>
    </row>
    <row r="96" spans="1:16" ht="28.8" x14ac:dyDescent="0.3">
      <c r="A96" s="14">
        <v>47</v>
      </c>
      <c r="B96" s="14" t="s">
        <v>344</v>
      </c>
      <c r="C96" s="14">
        <v>87</v>
      </c>
      <c r="D96" s="14">
        <v>20</v>
      </c>
      <c r="E96" s="14">
        <v>44</v>
      </c>
      <c r="F96" s="14">
        <v>96</v>
      </c>
      <c r="G96" s="14">
        <v>83</v>
      </c>
      <c r="H96" s="14">
        <f>SUM(C96:G96)</f>
        <v>330</v>
      </c>
      <c r="I96" s="14">
        <f>AVERAGE(C96:G96)</f>
        <v>66</v>
      </c>
      <c r="J96" s="14" t="str">
        <f>IF(I96&gt;90,"A++",IF(I96&gt;80,"A+",IF(I96&gt;70,"A",IF(I96&gt;60,"B",IF(I96&gt;35,"C","F")))))</f>
        <v>B</v>
      </c>
      <c r="K96" s="14" t="str">
        <f>IF(J96="F","Fail","Pass")</f>
        <v>Pass</v>
      </c>
      <c r="L96" s="14"/>
      <c r="M96" s="14">
        <f t="shared" si="4"/>
        <v>330</v>
      </c>
      <c r="N96" s="14">
        <f t="shared" si="5"/>
        <v>66</v>
      </c>
      <c r="O96" s="14" t="str">
        <f t="shared" si="6"/>
        <v>B+</v>
      </c>
      <c r="P96" s="14" t="str">
        <f t="shared" si="7"/>
        <v>Pass</v>
      </c>
    </row>
    <row r="97" spans="1:16" x14ac:dyDescent="0.3">
      <c r="A97" s="14">
        <v>8</v>
      </c>
      <c r="B97" s="14" t="s">
        <v>305</v>
      </c>
      <c r="C97" s="14">
        <v>93</v>
      </c>
      <c r="D97" s="14">
        <v>93</v>
      </c>
      <c r="E97" s="14">
        <v>31</v>
      </c>
      <c r="F97" s="14">
        <v>93</v>
      </c>
      <c r="G97" s="14">
        <v>20</v>
      </c>
      <c r="H97" s="14">
        <f>SUM(C97:G97)</f>
        <v>330</v>
      </c>
      <c r="I97" s="14">
        <f>AVERAGE(C97:G97)</f>
        <v>66</v>
      </c>
      <c r="J97" s="14" t="str">
        <f>IF(I97&gt;90,"A++",IF(I97&gt;80,"A+",IF(I97&gt;70,"A",IF(I97&gt;60,"B",IF(I97&gt;35,"C","F")))))</f>
        <v>B</v>
      </c>
      <c r="K97" s="14" t="str">
        <f>IF(J97="F","Fail","Pass")</f>
        <v>Pass</v>
      </c>
      <c r="L97" s="14"/>
      <c r="M97" s="14">
        <f t="shared" si="4"/>
        <v>330</v>
      </c>
      <c r="N97" s="14">
        <f t="shared" si="5"/>
        <v>66</v>
      </c>
      <c r="O97" s="14" t="str">
        <f t="shared" si="6"/>
        <v>B+</v>
      </c>
      <c r="P97" s="14" t="str">
        <f t="shared" si="7"/>
        <v>Pass</v>
      </c>
    </row>
    <row r="98" spans="1:16" x14ac:dyDescent="0.3">
      <c r="A98" s="14">
        <v>42</v>
      </c>
      <c r="B98" s="14" t="s">
        <v>339</v>
      </c>
      <c r="C98" s="14">
        <v>77</v>
      </c>
      <c r="D98" s="14">
        <v>70</v>
      </c>
      <c r="E98" s="14">
        <v>69</v>
      </c>
      <c r="F98" s="14">
        <v>51</v>
      </c>
      <c r="G98" s="14">
        <v>64</v>
      </c>
      <c r="H98" s="14">
        <f>SUM(C98:G98)</f>
        <v>331</v>
      </c>
      <c r="I98" s="14">
        <f>AVERAGE(C98:G98)</f>
        <v>66.2</v>
      </c>
      <c r="J98" s="14" t="str">
        <f>IF(I98&gt;90,"A++",IF(I98&gt;80,"A+",IF(I98&gt;70,"A",IF(I98&gt;60,"B",IF(I98&gt;35,"C","F")))))</f>
        <v>B</v>
      </c>
      <c r="K98" s="14" t="str">
        <f>IF(J98="F","Fail","Pass")</f>
        <v>Pass</v>
      </c>
      <c r="L98" s="14"/>
      <c r="M98" s="14">
        <f t="shared" si="4"/>
        <v>331</v>
      </c>
      <c r="N98" s="14">
        <f t="shared" si="5"/>
        <v>66.2</v>
      </c>
      <c r="O98" s="14" t="str">
        <f t="shared" si="6"/>
        <v>B+</v>
      </c>
      <c r="P98" s="14" t="str">
        <f t="shared" si="7"/>
        <v>Pass</v>
      </c>
    </row>
    <row r="99" spans="1:16" ht="28.8" x14ac:dyDescent="0.3">
      <c r="A99" s="14">
        <v>76</v>
      </c>
      <c r="B99" s="14" t="s">
        <v>373</v>
      </c>
      <c r="C99" s="14">
        <v>58</v>
      </c>
      <c r="D99" s="14">
        <v>77</v>
      </c>
      <c r="E99" s="14">
        <v>80</v>
      </c>
      <c r="F99" s="14">
        <v>19</v>
      </c>
      <c r="G99" s="14">
        <v>99</v>
      </c>
      <c r="H99" s="14">
        <f>SUM(C99:G99)</f>
        <v>333</v>
      </c>
      <c r="I99" s="14">
        <f>AVERAGE(C99:G99)</f>
        <v>66.599999999999994</v>
      </c>
      <c r="J99" s="14" t="str">
        <f>IF(I99&gt;90,"A++",IF(I99&gt;80,"A+",IF(I99&gt;70,"A",IF(I99&gt;60,"B",IF(I99&gt;35,"C","F")))))</f>
        <v>B</v>
      </c>
      <c r="K99" s="14" t="str">
        <f>IF(J99="F","Fail","Pass")</f>
        <v>Pass</v>
      </c>
      <c r="L99" s="14"/>
      <c r="M99" s="14">
        <f t="shared" si="4"/>
        <v>333</v>
      </c>
      <c r="N99" s="14">
        <f t="shared" si="5"/>
        <v>66.599999999999994</v>
      </c>
      <c r="O99" s="14" t="str">
        <f t="shared" si="6"/>
        <v>B+</v>
      </c>
      <c r="P99" s="14" t="str">
        <f t="shared" si="7"/>
        <v>Pass</v>
      </c>
    </row>
    <row r="100" spans="1:16" x14ac:dyDescent="0.3">
      <c r="A100" s="14">
        <v>5</v>
      </c>
      <c r="B100" s="14" t="s">
        <v>302</v>
      </c>
      <c r="C100" s="14">
        <v>55</v>
      </c>
      <c r="D100" s="14">
        <v>31</v>
      </c>
      <c r="E100" s="14">
        <v>56</v>
      </c>
      <c r="F100" s="14">
        <v>99</v>
      </c>
      <c r="G100" s="14">
        <v>93</v>
      </c>
      <c r="H100" s="14">
        <f>SUM(C100:G100)</f>
        <v>334</v>
      </c>
      <c r="I100" s="14">
        <f>AVERAGE(C100:G100)</f>
        <v>66.8</v>
      </c>
      <c r="J100" s="14" t="str">
        <f>IF(I100&gt;90,"A++",IF(I100&gt;80,"A+",IF(I100&gt;70,"A",IF(I100&gt;60,"B",IF(I100&gt;35,"C","F")))))</f>
        <v>B</v>
      </c>
      <c r="K100" s="14" t="str">
        <f>IF(J100="F","Fail","Pass")</f>
        <v>Pass</v>
      </c>
      <c r="L100" s="14"/>
      <c r="M100" s="14">
        <f t="shared" si="4"/>
        <v>334</v>
      </c>
      <c r="N100" s="14">
        <f t="shared" si="5"/>
        <v>66.8</v>
      </c>
      <c r="O100" s="14" t="str">
        <f t="shared" si="6"/>
        <v>B+</v>
      </c>
      <c r="P100" s="14" t="str">
        <f t="shared" si="7"/>
        <v>Pass</v>
      </c>
    </row>
    <row r="101" spans="1:16" ht="28.8" x14ac:dyDescent="0.3">
      <c r="A101" s="14">
        <v>57</v>
      </c>
      <c r="B101" s="14" t="s">
        <v>354</v>
      </c>
      <c r="C101" s="14">
        <v>42</v>
      </c>
      <c r="D101" s="14">
        <v>67</v>
      </c>
      <c r="E101" s="14">
        <v>56</v>
      </c>
      <c r="F101" s="14">
        <v>96</v>
      </c>
      <c r="G101" s="14">
        <v>74</v>
      </c>
      <c r="H101" s="14">
        <f>SUM(C101:G101)</f>
        <v>335</v>
      </c>
      <c r="I101" s="14">
        <f>AVERAGE(C101:G101)</f>
        <v>67</v>
      </c>
      <c r="J101" s="14" t="str">
        <f>IF(I101&gt;90,"A++",IF(I101&gt;80,"A+",IF(I101&gt;70,"A",IF(I101&gt;60,"B",IF(I101&gt;35,"C","F")))))</f>
        <v>B</v>
      </c>
      <c r="K101" s="14" t="str">
        <f>IF(J101="F","Fail","Pass")</f>
        <v>Pass</v>
      </c>
      <c r="L101" s="14"/>
      <c r="M101" s="14">
        <f t="shared" si="4"/>
        <v>335</v>
      </c>
      <c r="N101" s="14">
        <f t="shared" si="5"/>
        <v>67</v>
      </c>
      <c r="O101" s="14" t="str">
        <f t="shared" si="6"/>
        <v>B+</v>
      </c>
      <c r="P101" s="14" t="str">
        <f t="shared" si="7"/>
        <v>Pass</v>
      </c>
    </row>
    <row r="102" spans="1:16" ht="28.8" x14ac:dyDescent="0.3">
      <c r="A102" s="14">
        <v>113</v>
      </c>
      <c r="B102" s="14" t="s">
        <v>410</v>
      </c>
      <c r="C102" s="14">
        <v>93</v>
      </c>
      <c r="D102" s="14">
        <v>63</v>
      </c>
      <c r="E102" s="14">
        <v>41</v>
      </c>
      <c r="F102" s="14">
        <v>65</v>
      </c>
      <c r="G102" s="14">
        <v>75</v>
      </c>
      <c r="H102" s="14">
        <f>SUM(C102:G102)</f>
        <v>337</v>
      </c>
      <c r="I102" s="14">
        <f>AVERAGE(C102:G102)</f>
        <v>67.400000000000006</v>
      </c>
      <c r="J102" s="14" t="str">
        <f>IF(I102&gt;90,"A++",IF(I102&gt;80,"A+",IF(I102&gt;70,"A",IF(I102&gt;60,"B",IF(I102&gt;35,"C","F")))))</f>
        <v>B</v>
      </c>
      <c r="K102" s="14" t="str">
        <f>IF(J102="F","Fail","Pass")</f>
        <v>Pass</v>
      </c>
      <c r="L102" s="14"/>
      <c r="M102" s="14">
        <f t="shared" si="4"/>
        <v>337</v>
      </c>
      <c r="N102" s="14">
        <f t="shared" si="5"/>
        <v>67.400000000000006</v>
      </c>
      <c r="O102" s="14" t="str">
        <f t="shared" si="6"/>
        <v>B+</v>
      </c>
      <c r="P102" s="14" t="str">
        <f t="shared" si="7"/>
        <v>Pass</v>
      </c>
    </row>
    <row r="103" spans="1:16" ht="28.8" x14ac:dyDescent="0.3">
      <c r="A103" s="14">
        <v>117</v>
      </c>
      <c r="B103" s="14" t="s">
        <v>414</v>
      </c>
      <c r="C103" s="14">
        <v>86</v>
      </c>
      <c r="D103" s="14">
        <v>52</v>
      </c>
      <c r="E103" s="14">
        <v>41</v>
      </c>
      <c r="F103" s="14">
        <v>99</v>
      </c>
      <c r="G103" s="14">
        <v>60</v>
      </c>
      <c r="H103" s="14">
        <f>SUM(C103:G103)</f>
        <v>338</v>
      </c>
      <c r="I103" s="14">
        <f>AVERAGE(C103:G103)</f>
        <v>67.599999999999994</v>
      </c>
      <c r="J103" s="14" t="str">
        <f>IF(I103&gt;90,"A++",IF(I103&gt;80,"A+",IF(I103&gt;70,"A",IF(I103&gt;60,"B",IF(I103&gt;35,"C","F")))))</f>
        <v>B</v>
      </c>
      <c r="K103" s="14" t="str">
        <f>IF(J103="F","Fail","Pass")</f>
        <v>Pass</v>
      </c>
      <c r="L103" s="14"/>
      <c r="M103" s="14">
        <f t="shared" si="4"/>
        <v>338</v>
      </c>
      <c r="N103" s="14">
        <f t="shared" si="5"/>
        <v>67.599999999999994</v>
      </c>
      <c r="O103" s="14" t="str">
        <f t="shared" si="6"/>
        <v>B+</v>
      </c>
      <c r="P103" s="14" t="str">
        <f t="shared" si="7"/>
        <v>Pass</v>
      </c>
    </row>
    <row r="104" spans="1:16" ht="28.8" x14ac:dyDescent="0.3">
      <c r="A104" s="14">
        <v>89</v>
      </c>
      <c r="B104" s="14" t="s">
        <v>386</v>
      </c>
      <c r="C104" s="14">
        <v>91</v>
      </c>
      <c r="D104" s="14">
        <v>10</v>
      </c>
      <c r="E104" s="14">
        <v>97</v>
      </c>
      <c r="F104" s="14">
        <v>46</v>
      </c>
      <c r="G104" s="14">
        <v>96</v>
      </c>
      <c r="H104" s="14">
        <f>SUM(C104:G104)</f>
        <v>340</v>
      </c>
      <c r="I104" s="14">
        <f>AVERAGE(C104:G104)</f>
        <v>68</v>
      </c>
      <c r="J104" s="14" t="str">
        <f>IF(I104&gt;90,"A++",IF(I104&gt;80,"A+",IF(I104&gt;70,"A",IF(I104&gt;60,"B",IF(I104&gt;35,"C","F")))))</f>
        <v>B</v>
      </c>
      <c r="K104" s="14" t="str">
        <f>IF(J104="F","Fail","Pass")</f>
        <v>Pass</v>
      </c>
      <c r="L104" s="14"/>
      <c r="M104" s="14">
        <f t="shared" si="4"/>
        <v>340</v>
      </c>
      <c r="N104" s="14">
        <f t="shared" si="5"/>
        <v>68</v>
      </c>
      <c r="O104" s="14" t="str">
        <f t="shared" si="6"/>
        <v>B+</v>
      </c>
      <c r="P104" s="14" t="str">
        <f t="shared" si="7"/>
        <v>Pass</v>
      </c>
    </row>
    <row r="105" spans="1:16" ht="28.8" x14ac:dyDescent="0.3">
      <c r="A105" s="14">
        <v>118</v>
      </c>
      <c r="B105" s="14" t="s">
        <v>415</v>
      </c>
      <c r="C105" s="14">
        <v>43</v>
      </c>
      <c r="D105" s="14">
        <v>97</v>
      </c>
      <c r="E105" s="14">
        <v>67</v>
      </c>
      <c r="F105" s="14">
        <v>72</v>
      </c>
      <c r="G105" s="14">
        <v>64</v>
      </c>
      <c r="H105" s="14">
        <f>SUM(C105:G105)</f>
        <v>343</v>
      </c>
      <c r="I105" s="14">
        <f>AVERAGE(C105:G105)</f>
        <v>68.599999999999994</v>
      </c>
      <c r="J105" s="14" t="str">
        <f>IF(I105&gt;90,"A++",IF(I105&gt;80,"A+",IF(I105&gt;70,"A",IF(I105&gt;60,"B",IF(I105&gt;35,"C","F")))))</f>
        <v>B</v>
      </c>
      <c r="K105" s="14" t="str">
        <f>IF(J105="F","Fail","Pass")</f>
        <v>Pass</v>
      </c>
      <c r="L105" s="14"/>
      <c r="M105" s="14">
        <f t="shared" si="4"/>
        <v>343</v>
      </c>
      <c r="N105" s="14">
        <f t="shared" si="5"/>
        <v>68.599999999999994</v>
      </c>
      <c r="O105" s="14" t="str">
        <f t="shared" si="6"/>
        <v>B+</v>
      </c>
      <c r="P105" s="14" t="str">
        <f t="shared" si="7"/>
        <v>Pass</v>
      </c>
    </row>
    <row r="106" spans="1:16" x14ac:dyDescent="0.3">
      <c r="A106" s="14">
        <v>2</v>
      </c>
      <c r="B106" s="14" t="s">
        <v>299</v>
      </c>
      <c r="C106" s="14">
        <v>69</v>
      </c>
      <c r="D106" s="14">
        <v>85</v>
      </c>
      <c r="E106" s="14">
        <v>86</v>
      </c>
      <c r="F106" s="14">
        <v>51</v>
      </c>
      <c r="G106" s="14">
        <v>53</v>
      </c>
      <c r="H106" s="14">
        <f>SUM(C106:G106)</f>
        <v>344</v>
      </c>
      <c r="I106" s="14">
        <f>AVERAGE(C106:G106)</f>
        <v>68.8</v>
      </c>
      <c r="J106" s="14" t="str">
        <f>IF(I106&gt;90,"A++",IF(I106&gt;80,"A+",IF(I106&gt;70,"A",IF(I106&gt;60,"B",IF(I106&gt;35,"C","F")))))</f>
        <v>B</v>
      </c>
      <c r="K106" s="14" t="str">
        <f>IF(J106="F","Fail","Pass")</f>
        <v>Pass</v>
      </c>
      <c r="L106" s="14"/>
      <c r="M106" s="14">
        <f t="shared" si="4"/>
        <v>344</v>
      </c>
      <c r="N106" s="14">
        <f t="shared" si="5"/>
        <v>68.8</v>
      </c>
      <c r="O106" s="14" t="str">
        <f t="shared" si="6"/>
        <v>B+</v>
      </c>
      <c r="P106" s="14" t="str">
        <f t="shared" si="7"/>
        <v>Pass</v>
      </c>
    </row>
    <row r="107" spans="1:16" ht="28.8" x14ac:dyDescent="0.3">
      <c r="A107" s="14">
        <v>115</v>
      </c>
      <c r="B107" s="14" t="s">
        <v>412</v>
      </c>
      <c r="C107" s="14">
        <v>54</v>
      </c>
      <c r="D107" s="14">
        <v>85</v>
      </c>
      <c r="E107" s="14">
        <v>90</v>
      </c>
      <c r="F107" s="14">
        <v>25</v>
      </c>
      <c r="G107" s="14">
        <v>90</v>
      </c>
      <c r="H107" s="14">
        <f>SUM(C107:G107)</f>
        <v>344</v>
      </c>
      <c r="I107" s="14">
        <f>AVERAGE(C107:G107)</f>
        <v>68.8</v>
      </c>
      <c r="J107" s="14" t="str">
        <f>IF(I107&gt;90,"A++",IF(I107&gt;80,"A+",IF(I107&gt;70,"A",IF(I107&gt;60,"B",IF(I107&gt;35,"C","F")))))</f>
        <v>B</v>
      </c>
      <c r="K107" s="14" t="str">
        <f>IF(J107="F","Fail","Pass")</f>
        <v>Pass</v>
      </c>
      <c r="L107" s="14"/>
      <c r="M107" s="14">
        <f t="shared" si="4"/>
        <v>344</v>
      </c>
      <c r="N107" s="14">
        <f t="shared" si="5"/>
        <v>68.8</v>
      </c>
      <c r="O107" s="14" t="str">
        <f t="shared" si="6"/>
        <v>B+</v>
      </c>
      <c r="P107" s="14" t="str">
        <f t="shared" si="7"/>
        <v>Pass</v>
      </c>
    </row>
    <row r="108" spans="1:16" ht="28.8" x14ac:dyDescent="0.3">
      <c r="A108" s="14">
        <v>50</v>
      </c>
      <c r="B108" s="14" t="s">
        <v>347</v>
      </c>
      <c r="C108" s="14">
        <v>59</v>
      </c>
      <c r="D108" s="14">
        <v>61</v>
      </c>
      <c r="E108" s="14">
        <v>51</v>
      </c>
      <c r="F108" s="14">
        <v>99</v>
      </c>
      <c r="G108" s="14">
        <v>79</v>
      </c>
      <c r="H108" s="14">
        <f>SUM(C108:G108)</f>
        <v>349</v>
      </c>
      <c r="I108" s="14">
        <f>AVERAGE(C108:G108)</f>
        <v>69.8</v>
      </c>
      <c r="J108" s="14" t="str">
        <f>IF(I108&gt;90,"A++",IF(I108&gt;80,"A+",IF(I108&gt;70,"A",IF(I108&gt;60,"B",IF(I108&gt;35,"C","F")))))</f>
        <v>B</v>
      </c>
      <c r="K108" s="14" t="str">
        <f>IF(J108="F","Fail","Pass")</f>
        <v>Pass</v>
      </c>
      <c r="L108" s="14"/>
      <c r="M108" s="14">
        <f t="shared" si="4"/>
        <v>349</v>
      </c>
      <c r="N108" s="14">
        <f t="shared" si="5"/>
        <v>69.8</v>
      </c>
      <c r="O108" s="14" t="str">
        <f t="shared" si="6"/>
        <v>B+</v>
      </c>
      <c r="P108" s="14" t="str">
        <f t="shared" si="7"/>
        <v>Pass</v>
      </c>
    </row>
    <row r="109" spans="1:16" ht="28.8" x14ac:dyDescent="0.3">
      <c r="A109" s="14">
        <v>110</v>
      </c>
      <c r="B109" s="14" t="s">
        <v>407</v>
      </c>
      <c r="C109" s="14">
        <v>71</v>
      </c>
      <c r="D109" s="14">
        <v>97</v>
      </c>
      <c r="E109" s="14">
        <v>54</v>
      </c>
      <c r="F109" s="14">
        <v>49</v>
      </c>
      <c r="G109" s="14">
        <v>79</v>
      </c>
      <c r="H109" s="14">
        <f>SUM(C109:G109)</f>
        <v>350</v>
      </c>
      <c r="I109" s="14">
        <f>AVERAGE(C109:G109)</f>
        <v>70</v>
      </c>
      <c r="J109" s="14" t="str">
        <f>IF(I109&gt;90,"A++",IF(I109&gt;80,"A+",IF(I109&gt;70,"A",IF(I109&gt;60,"B",IF(I109&gt;35,"C","F")))))</f>
        <v>B</v>
      </c>
      <c r="K109" s="14" t="str">
        <f>IF(J109="F","Fail","Pass")</f>
        <v>Pass</v>
      </c>
      <c r="L109" s="14"/>
      <c r="M109" s="14">
        <f t="shared" si="4"/>
        <v>350</v>
      </c>
      <c r="N109" s="14">
        <f t="shared" si="5"/>
        <v>70</v>
      </c>
      <c r="O109" s="14" t="str">
        <f t="shared" si="6"/>
        <v>A</v>
      </c>
      <c r="P109" s="14" t="str">
        <f t="shared" si="7"/>
        <v>Pass</v>
      </c>
    </row>
    <row r="110" spans="1:16" x14ac:dyDescent="0.3">
      <c r="A110" s="14">
        <v>27</v>
      </c>
      <c r="B110" s="14" t="s">
        <v>324</v>
      </c>
      <c r="C110" s="14">
        <v>74</v>
      </c>
      <c r="D110" s="14">
        <v>68</v>
      </c>
      <c r="E110" s="14">
        <v>61</v>
      </c>
      <c r="F110" s="14">
        <v>86</v>
      </c>
      <c r="G110" s="14">
        <v>64</v>
      </c>
      <c r="H110" s="14">
        <f>SUM(C110:G110)</f>
        <v>353</v>
      </c>
      <c r="I110" s="14">
        <f>AVERAGE(C110:G110)</f>
        <v>70.599999999999994</v>
      </c>
      <c r="J110" s="14" t="str">
        <f>IF(I110&gt;90,"A++",IF(I110&gt;80,"A+",IF(I110&gt;70,"A",IF(I110&gt;60,"B",IF(I110&gt;35,"C","F")))))</f>
        <v>A</v>
      </c>
      <c r="K110" s="14" t="str">
        <f>IF(J110="F","Fail","Pass")</f>
        <v>Pass</v>
      </c>
      <c r="L110" s="14"/>
      <c r="M110" s="14">
        <f t="shared" si="4"/>
        <v>353</v>
      </c>
      <c r="N110" s="14">
        <f t="shared" si="5"/>
        <v>70.599999999999994</v>
      </c>
      <c r="O110" s="14" t="str">
        <f t="shared" si="6"/>
        <v>A</v>
      </c>
      <c r="P110" s="14" t="str">
        <f t="shared" si="7"/>
        <v>Pass</v>
      </c>
    </row>
    <row r="111" spans="1:16" ht="28.8" x14ac:dyDescent="0.3">
      <c r="A111" s="14">
        <v>105</v>
      </c>
      <c r="B111" s="14" t="s">
        <v>402</v>
      </c>
      <c r="C111" s="14">
        <v>61</v>
      </c>
      <c r="D111" s="14">
        <v>96</v>
      </c>
      <c r="E111" s="14">
        <v>85</v>
      </c>
      <c r="F111" s="14">
        <v>55</v>
      </c>
      <c r="G111" s="14">
        <v>56</v>
      </c>
      <c r="H111" s="14">
        <f>SUM(C111:G111)</f>
        <v>353</v>
      </c>
      <c r="I111" s="14">
        <f>AVERAGE(C111:G111)</f>
        <v>70.599999999999994</v>
      </c>
      <c r="J111" s="14" t="str">
        <f>IF(I111&gt;90,"A++",IF(I111&gt;80,"A+",IF(I111&gt;70,"A",IF(I111&gt;60,"B",IF(I111&gt;35,"C","F")))))</f>
        <v>A</v>
      </c>
      <c r="K111" s="14" t="str">
        <f>IF(J111="F","Fail","Pass")</f>
        <v>Pass</v>
      </c>
      <c r="L111" s="14"/>
      <c r="M111" s="14">
        <f t="shared" si="4"/>
        <v>353</v>
      </c>
      <c r="N111" s="14">
        <f t="shared" si="5"/>
        <v>70.599999999999994</v>
      </c>
      <c r="O111" s="14" t="str">
        <f t="shared" si="6"/>
        <v>A</v>
      </c>
      <c r="P111" s="14" t="str">
        <f t="shared" si="7"/>
        <v>Pass</v>
      </c>
    </row>
    <row r="112" spans="1:16" ht="28.8" x14ac:dyDescent="0.3">
      <c r="A112" s="14">
        <v>78</v>
      </c>
      <c r="B112" s="14" t="s">
        <v>375</v>
      </c>
      <c r="C112" s="14">
        <v>83</v>
      </c>
      <c r="D112" s="14">
        <v>98</v>
      </c>
      <c r="E112" s="14">
        <v>81</v>
      </c>
      <c r="F112" s="14">
        <v>68</v>
      </c>
      <c r="G112" s="14">
        <v>29</v>
      </c>
      <c r="H112" s="14">
        <f>SUM(C112:G112)</f>
        <v>359</v>
      </c>
      <c r="I112" s="14">
        <f>AVERAGE(C112:G112)</f>
        <v>71.8</v>
      </c>
      <c r="J112" s="14" t="str">
        <f>IF(I112&gt;90,"A++",IF(I112&gt;80,"A+",IF(I112&gt;70,"A",IF(I112&gt;60,"B",IF(I112&gt;35,"C","F")))))</f>
        <v>A</v>
      </c>
      <c r="K112" s="14" t="str">
        <f>IF(J112="F","Fail","Pass")</f>
        <v>Pass</v>
      </c>
      <c r="L112" s="14"/>
      <c r="M112" s="14">
        <f t="shared" si="4"/>
        <v>359</v>
      </c>
      <c r="N112" s="14">
        <f t="shared" si="5"/>
        <v>71.8</v>
      </c>
      <c r="O112" s="14" t="str">
        <f t="shared" si="6"/>
        <v>A</v>
      </c>
      <c r="P112" s="14" t="str">
        <f t="shared" si="7"/>
        <v>Pass</v>
      </c>
    </row>
    <row r="113" spans="1:16" x14ac:dyDescent="0.3">
      <c r="A113" s="14">
        <v>22</v>
      </c>
      <c r="B113" s="14" t="s">
        <v>319</v>
      </c>
      <c r="C113" s="14">
        <v>65</v>
      </c>
      <c r="D113" s="14">
        <v>55</v>
      </c>
      <c r="E113" s="14">
        <v>75</v>
      </c>
      <c r="F113" s="14">
        <v>95</v>
      </c>
      <c r="G113" s="14">
        <v>71</v>
      </c>
      <c r="H113" s="14">
        <f>SUM(C113:G113)</f>
        <v>361</v>
      </c>
      <c r="I113" s="14">
        <f>AVERAGE(C113:G113)</f>
        <v>72.2</v>
      </c>
      <c r="J113" s="14" t="str">
        <f>IF(I113&gt;90,"A++",IF(I113&gt;80,"A+",IF(I113&gt;70,"A",IF(I113&gt;60,"B",IF(I113&gt;35,"C","F")))))</f>
        <v>A</v>
      </c>
      <c r="K113" s="14" t="str">
        <f>IF(J113="F","Fail","Pass")</f>
        <v>Pass</v>
      </c>
      <c r="L113" s="14"/>
      <c r="M113" s="14">
        <f t="shared" si="4"/>
        <v>361</v>
      </c>
      <c r="N113" s="14">
        <f t="shared" si="5"/>
        <v>72.2</v>
      </c>
      <c r="O113" s="14" t="str">
        <f t="shared" si="6"/>
        <v>A</v>
      </c>
      <c r="P113" s="14" t="str">
        <f t="shared" si="7"/>
        <v>Pass</v>
      </c>
    </row>
    <row r="114" spans="1:16" x14ac:dyDescent="0.3">
      <c r="A114" s="14">
        <v>28</v>
      </c>
      <c r="B114" s="14" t="s">
        <v>325</v>
      </c>
      <c r="C114" s="14">
        <v>87</v>
      </c>
      <c r="D114" s="14">
        <v>60</v>
      </c>
      <c r="E114" s="14">
        <v>62</v>
      </c>
      <c r="F114" s="14">
        <v>100</v>
      </c>
      <c r="G114" s="14">
        <v>54</v>
      </c>
      <c r="H114" s="14">
        <f>SUM(C114:G114)</f>
        <v>363</v>
      </c>
      <c r="I114" s="14">
        <f>AVERAGE(C114:G114)</f>
        <v>72.599999999999994</v>
      </c>
      <c r="J114" s="14" t="str">
        <f>IF(I114&gt;90,"A++",IF(I114&gt;80,"A+",IF(I114&gt;70,"A",IF(I114&gt;60,"B",IF(I114&gt;35,"C","F")))))</f>
        <v>A</v>
      </c>
      <c r="K114" s="14" t="str">
        <f>IF(J114="F","Fail","Pass")</f>
        <v>Pass</v>
      </c>
      <c r="L114" s="14"/>
      <c r="M114" s="14">
        <f t="shared" si="4"/>
        <v>363</v>
      </c>
      <c r="N114" s="14">
        <f t="shared" si="5"/>
        <v>72.599999999999994</v>
      </c>
      <c r="O114" s="14" t="str">
        <f t="shared" si="6"/>
        <v>A</v>
      </c>
      <c r="P114" s="14" t="str">
        <f t="shared" si="7"/>
        <v>Pass</v>
      </c>
    </row>
    <row r="115" spans="1:16" ht="28.8" x14ac:dyDescent="0.3">
      <c r="A115" s="14">
        <v>71</v>
      </c>
      <c r="B115" s="14" t="s">
        <v>368</v>
      </c>
      <c r="C115" s="14">
        <v>59</v>
      </c>
      <c r="D115" s="14">
        <v>88</v>
      </c>
      <c r="E115" s="14">
        <v>60</v>
      </c>
      <c r="F115" s="14">
        <v>97</v>
      </c>
      <c r="G115" s="14">
        <v>62</v>
      </c>
      <c r="H115" s="14">
        <f>SUM(C115:G115)</f>
        <v>366</v>
      </c>
      <c r="I115" s="14">
        <f>AVERAGE(C115:G115)</f>
        <v>73.2</v>
      </c>
      <c r="J115" s="14" t="str">
        <f>IF(I115&gt;90,"A++",IF(I115&gt;80,"A+",IF(I115&gt;70,"A",IF(I115&gt;60,"B",IF(I115&gt;35,"C","F")))))</f>
        <v>A</v>
      </c>
      <c r="K115" s="14" t="str">
        <f>IF(J115="F","Fail","Pass")</f>
        <v>Pass</v>
      </c>
      <c r="L115" s="14"/>
      <c r="M115" s="14">
        <f t="shared" si="4"/>
        <v>366</v>
      </c>
      <c r="N115" s="14">
        <f t="shared" si="5"/>
        <v>73.2</v>
      </c>
      <c r="O115" s="14" t="str">
        <f t="shared" si="6"/>
        <v>A</v>
      </c>
      <c r="P115" s="14" t="str">
        <f t="shared" si="7"/>
        <v>Pass</v>
      </c>
    </row>
    <row r="116" spans="1:16" ht="43.2" x14ac:dyDescent="0.3">
      <c r="A116" s="14">
        <v>80</v>
      </c>
      <c r="B116" s="14" t="s">
        <v>377</v>
      </c>
      <c r="C116" s="14">
        <v>71</v>
      </c>
      <c r="D116" s="14">
        <v>71</v>
      </c>
      <c r="E116" s="14">
        <v>56</v>
      </c>
      <c r="F116" s="14">
        <v>84</v>
      </c>
      <c r="G116" s="14">
        <v>85</v>
      </c>
      <c r="H116" s="14">
        <f>SUM(C116:G116)</f>
        <v>367</v>
      </c>
      <c r="I116" s="14">
        <f>AVERAGE(C116:G116)</f>
        <v>73.400000000000006</v>
      </c>
      <c r="J116" s="14" t="str">
        <f>IF(I116&gt;90,"A++",IF(I116&gt;80,"A+",IF(I116&gt;70,"A",IF(I116&gt;60,"B",IF(I116&gt;35,"C","F")))))</f>
        <v>A</v>
      </c>
      <c r="K116" s="14" t="str">
        <f>IF(J116="F","Fail","Pass")</f>
        <v>Pass</v>
      </c>
      <c r="L116" s="14"/>
      <c r="M116" s="14">
        <f t="shared" si="4"/>
        <v>367</v>
      </c>
      <c r="N116" s="14">
        <f t="shared" si="5"/>
        <v>73.400000000000006</v>
      </c>
      <c r="O116" s="14" t="str">
        <f t="shared" si="6"/>
        <v>A</v>
      </c>
      <c r="P116" s="14" t="str">
        <f t="shared" si="7"/>
        <v>Pass</v>
      </c>
    </row>
    <row r="117" spans="1:16" ht="28.8" x14ac:dyDescent="0.3">
      <c r="A117" s="14">
        <v>51</v>
      </c>
      <c r="B117" s="14" t="s">
        <v>348</v>
      </c>
      <c r="C117" s="14">
        <v>62</v>
      </c>
      <c r="D117" s="14">
        <v>42</v>
      </c>
      <c r="E117" s="14">
        <v>76</v>
      </c>
      <c r="F117" s="14">
        <v>98</v>
      </c>
      <c r="G117" s="14">
        <v>94</v>
      </c>
      <c r="H117" s="14">
        <f>SUM(C117:G117)</f>
        <v>372</v>
      </c>
      <c r="I117" s="14">
        <f>AVERAGE(C117:G117)</f>
        <v>74.400000000000006</v>
      </c>
      <c r="J117" s="14" t="str">
        <f>IF(I117&gt;90,"A++",IF(I117&gt;80,"A+",IF(I117&gt;70,"A",IF(I117&gt;60,"B",IF(I117&gt;35,"C","F")))))</f>
        <v>A</v>
      </c>
      <c r="K117" s="14" t="str">
        <f>IF(J117="F","Fail","Pass")</f>
        <v>Pass</v>
      </c>
      <c r="L117" s="14"/>
      <c r="M117" s="14">
        <f t="shared" si="4"/>
        <v>372</v>
      </c>
      <c r="N117" s="14">
        <f t="shared" si="5"/>
        <v>74.400000000000006</v>
      </c>
      <c r="O117" s="14" t="str">
        <f t="shared" si="6"/>
        <v>A</v>
      </c>
      <c r="P117" s="14" t="str">
        <f t="shared" si="7"/>
        <v>Pass</v>
      </c>
    </row>
    <row r="118" spans="1:16" x14ac:dyDescent="0.3">
      <c r="A118" s="14">
        <v>31</v>
      </c>
      <c r="B118" s="14" t="s">
        <v>328</v>
      </c>
      <c r="C118" s="14">
        <v>99</v>
      </c>
      <c r="D118" s="14">
        <v>96</v>
      </c>
      <c r="E118" s="14">
        <v>80</v>
      </c>
      <c r="F118" s="14">
        <v>47</v>
      </c>
      <c r="G118" s="14">
        <v>63</v>
      </c>
      <c r="H118" s="14">
        <f>SUM(C118:G118)</f>
        <v>385</v>
      </c>
      <c r="I118" s="14">
        <f>AVERAGE(C118:G118)</f>
        <v>77</v>
      </c>
      <c r="J118" s="14" t="str">
        <f>IF(I118&gt;90,"A++",IF(I118&gt;80,"A+",IF(I118&gt;70,"A",IF(I118&gt;60,"B",IF(I118&gt;35,"C","F")))))</f>
        <v>A</v>
      </c>
      <c r="K118" s="14" t="str">
        <f>IF(J118="F","Fail","Pass")</f>
        <v>Pass</v>
      </c>
      <c r="L118" s="14"/>
      <c r="M118" s="14">
        <f t="shared" si="4"/>
        <v>385</v>
      </c>
      <c r="N118" s="14">
        <f t="shared" si="5"/>
        <v>77</v>
      </c>
      <c r="O118" s="14" t="str">
        <f t="shared" si="6"/>
        <v>A</v>
      </c>
      <c r="P118" s="14" t="str">
        <f t="shared" si="7"/>
        <v>Pass</v>
      </c>
    </row>
    <row r="119" spans="1:16" ht="28.8" x14ac:dyDescent="0.3">
      <c r="A119" s="14">
        <v>73</v>
      </c>
      <c r="B119" s="14" t="s">
        <v>370</v>
      </c>
      <c r="C119" s="14">
        <v>51</v>
      </c>
      <c r="D119" s="14">
        <v>86</v>
      </c>
      <c r="E119" s="14">
        <v>96</v>
      </c>
      <c r="F119" s="14">
        <v>70</v>
      </c>
      <c r="G119" s="14">
        <v>94</v>
      </c>
      <c r="H119" s="14">
        <f>SUM(C119:G119)</f>
        <v>397</v>
      </c>
      <c r="I119" s="14">
        <f>AVERAGE(C119:G119)</f>
        <v>79.400000000000006</v>
      </c>
      <c r="J119" s="14" t="str">
        <f>IF(I119&gt;90,"A++",IF(I119&gt;80,"A+",IF(I119&gt;70,"A",IF(I119&gt;60,"B",IF(I119&gt;35,"C","F")))))</f>
        <v>A</v>
      </c>
      <c r="K119" s="14" t="str">
        <f>IF(J119="F","Fail","Pass")</f>
        <v>Pass</v>
      </c>
      <c r="L119" s="14"/>
      <c r="M119" s="14">
        <f t="shared" si="4"/>
        <v>397</v>
      </c>
      <c r="N119" s="14">
        <f t="shared" si="5"/>
        <v>79.400000000000006</v>
      </c>
      <c r="O119" s="14" t="str">
        <f t="shared" si="6"/>
        <v>A</v>
      </c>
      <c r="P119" s="14" t="str">
        <f t="shared" si="7"/>
        <v>Pass</v>
      </c>
    </row>
    <row r="120" spans="1:16" ht="28.8" x14ac:dyDescent="0.3">
      <c r="A120" s="14">
        <v>66</v>
      </c>
      <c r="B120" s="14" t="s">
        <v>363</v>
      </c>
      <c r="C120" s="14">
        <v>66</v>
      </c>
      <c r="D120" s="14">
        <v>100</v>
      </c>
      <c r="E120" s="14">
        <v>95</v>
      </c>
      <c r="F120" s="14">
        <v>56</v>
      </c>
      <c r="G120" s="14">
        <v>91</v>
      </c>
      <c r="H120" s="14">
        <f>SUM(C120:G120)</f>
        <v>408</v>
      </c>
      <c r="I120" s="14">
        <f>AVERAGE(C120:G120)</f>
        <v>81.599999999999994</v>
      </c>
      <c r="J120" s="14" t="str">
        <f>IF(I120&gt;90,"A++",IF(I120&gt;80,"A+",IF(I120&gt;70,"A",IF(I120&gt;60,"B",IF(I120&gt;35,"C","F")))))</f>
        <v>A+</v>
      </c>
      <c r="K120" s="14" t="str">
        <f>IF(J120="F","Fail","Pass")</f>
        <v>Pass</v>
      </c>
      <c r="L120" s="14"/>
      <c r="M120" s="14">
        <f t="shared" si="4"/>
        <v>408</v>
      </c>
      <c r="N120" s="14">
        <f t="shared" si="5"/>
        <v>81.599999999999994</v>
      </c>
      <c r="O120" s="14" t="str">
        <f t="shared" si="6"/>
        <v>A+</v>
      </c>
      <c r="P120" s="14" t="str">
        <f t="shared" si="7"/>
        <v>Pass</v>
      </c>
    </row>
    <row r="121" spans="1:16" ht="43.2" x14ac:dyDescent="0.3">
      <c r="A121" s="14">
        <v>98</v>
      </c>
      <c r="B121" s="14" t="s">
        <v>395</v>
      </c>
      <c r="C121" s="14">
        <v>98</v>
      </c>
      <c r="D121" s="14">
        <v>86</v>
      </c>
      <c r="E121" s="14">
        <v>85</v>
      </c>
      <c r="F121" s="14">
        <v>95</v>
      </c>
      <c r="G121" s="14">
        <v>96</v>
      </c>
      <c r="H121" s="14">
        <f>SUM(C121:G121)</f>
        <v>460</v>
      </c>
      <c r="I121" s="14">
        <f>AVERAGE(C121:G121)</f>
        <v>92</v>
      </c>
      <c r="J121" s="14" t="str">
        <f>IF(I121&gt;90,"A++",IF(I121&gt;80,"A+",IF(I121&gt;70,"A",IF(I121&gt;60,"B",IF(I121&gt;35,"C","F")))))</f>
        <v>A++</v>
      </c>
      <c r="K121" s="14" t="str">
        <f>IF(J121="F","Fail","Pass")</f>
        <v>Pass</v>
      </c>
      <c r="L121" s="14"/>
      <c r="M121" s="14">
        <f t="shared" si="4"/>
        <v>460</v>
      </c>
      <c r="N121" s="14">
        <f t="shared" si="5"/>
        <v>92</v>
      </c>
      <c r="O121" s="14" t="str">
        <f t="shared" si="6"/>
        <v>A++</v>
      </c>
      <c r="P121" s="14" t="str">
        <f t="shared" si="7"/>
        <v>Pass</v>
      </c>
    </row>
    <row r="122" spans="1:16" x14ac:dyDescent="0.3">
      <c r="M122" s="2"/>
      <c r="N122" s="2"/>
    </row>
    <row r="123" spans="1:16" x14ac:dyDescent="0.3">
      <c r="M123" s="2"/>
      <c r="N123" s="2"/>
    </row>
    <row r="124" spans="1:16" x14ac:dyDescent="0.3">
      <c r="M124" s="2"/>
      <c r="N124" s="2"/>
    </row>
    <row r="125" spans="1:16" x14ac:dyDescent="0.3">
      <c r="M125" s="2"/>
      <c r="N125" s="2"/>
    </row>
    <row r="126" spans="1:16" x14ac:dyDescent="0.3">
      <c r="M126" s="2"/>
      <c r="N126" s="2"/>
    </row>
    <row r="127" spans="1:16" x14ac:dyDescent="0.3">
      <c r="M127" s="2"/>
      <c r="N127" s="2"/>
    </row>
    <row r="128" spans="1:16" x14ac:dyDescent="0.3">
      <c r="M128" s="2"/>
      <c r="N128" s="2"/>
    </row>
    <row r="129" spans="13:14" x14ac:dyDescent="0.3">
      <c r="M129" s="2"/>
      <c r="N129" s="2"/>
    </row>
    <row r="130" spans="13:14" x14ac:dyDescent="0.3">
      <c r="M130" s="2"/>
      <c r="N130" s="2"/>
    </row>
    <row r="131" spans="13:14" x14ac:dyDescent="0.3">
      <c r="M131" s="2"/>
      <c r="N131" s="2"/>
    </row>
    <row r="132" spans="13:14" x14ac:dyDescent="0.3">
      <c r="M132" s="2"/>
      <c r="N132" s="2"/>
    </row>
    <row r="133" spans="13:14" x14ac:dyDescent="0.3">
      <c r="M133" s="2"/>
      <c r="N133" s="2"/>
    </row>
    <row r="134" spans="13:14" x14ac:dyDescent="0.3">
      <c r="M134" s="2"/>
      <c r="N134" s="2"/>
    </row>
    <row r="135" spans="13:14" x14ac:dyDescent="0.3">
      <c r="M135" s="2"/>
      <c r="N135" s="2"/>
    </row>
    <row r="136" spans="13:14" x14ac:dyDescent="0.3">
      <c r="M136" s="2"/>
      <c r="N136" s="2"/>
    </row>
    <row r="137" spans="13:14" x14ac:dyDescent="0.3">
      <c r="M137" s="2"/>
      <c r="N137" s="2"/>
    </row>
    <row r="138" spans="13:14" x14ac:dyDescent="0.3">
      <c r="M138" s="2"/>
      <c r="N138" s="2"/>
    </row>
    <row r="139" spans="13:14" x14ac:dyDescent="0.3">
      <c r="M139" s="2"/>
      <c r="N139" s="2"/>
    </row>
    <row r="140" spans="13:14" x14ac:dyDescent="0.3">
      <c r="M140" s="2"/>
      <c r="N140" s="2"/>
    </row>
    <row r="141" spans="13:14" x14ac:dyDescent="0.3">
      <c r="M141" s="2"/>
      <c r="N141" s="2"/>
    </row>
    <row r="142" spans="13:14" x14ac:dyDescent="0.3">
      <c r="M142" s="2"/>
      <c r="N142" s="2"/>
    </row>
    <row r="143" spans="13:14" x14ac:dyDescent="0.3">
      <c r="M143" s="2"/>
      <c r="N143" s="2"/>
    </row>
    <row r="144" spans="13:14" x14ac:dyDescent="0.3">
      <c r="M144" s="2"/>
      <c r="N144" s="2"/>
    </row>
    <row r="145" spans="13:14" x14ac:dyDescent="0.3">
      <c r="M145" s="2"/>
      <c r="N145" s="2"/>
    </row>
    <row r="146" spans="13:14" x14ac:dyDescent="0.3">
      <c r="M146" s="2"/>
      <c r="N146" s="2"/>
    </row>
    <row r="147" spans="13:14" x14ac:dyDescent="0.3">
      <c r="M147" s="2"/>
      <c r="N147" s="2"/>
    </row>
    <row r="148" spans="13:14" x14ac:dyDescent="0.3">
      <c r="M148" s="2"/>
      <c r="N148" s="2"/>
    </row>
    <row r="149" spans="13:14" x14ac:dyDescent="0.3">
      <c r="M149" s="2"/>
      <c r="N149" s="2"/>
    </row>
    <row r="150" spans="13:14" x14ac:dyDescent="0.3">
      <c r="M150" s="2"/>
      <c r="N150" s="2"/>
    </row>
    <row r="151" spans="13:14" x14ac:dyDescent="0.3">
      <c r="M151" s="2"/>
      <c r="N151" s="2"/>
    </row>
    <row r="152" spans="13:14" x14ac:dyDescent="0.3">
      <c r="M152" s="2"/>
      <c r="N152" s="2"/>
    </row>
    <row r="153" spans="13:14" x14ac:dyDescent="0.3">
      <c r="M153" s="2"/>
      <c r="N153" s="2"/>
    </row>
    <row r="154" spans="13:14" x14ac:dyDescent="0.3">
      <c r="M154" s="2"/>
      <c r="N154" s="2"/>
    </row>
    <row r="155" spans="13:14" x14ac:dyDescent="0.3">
      <c r="M155" s="2"/>
      <c r="N155" s="2"/>
    </row>
    <row r="156" spans="13:14" x14ac:dyDescent="0.3">
      <c r="M156" s="2"/>
      <c r="N156" s="2"/>
    </row>
    <row r="157" spans="13:14" x14ac:dyDescent="0.3">
      <c r="M157" s="2"/>
      <c r="N157" s="2"/>
    </row>
    <row r="158" spans="13:14" x14ac:dyDescent="0.3">
      <c r="M158" s="2"/>
      <c r="N158" s="2"/>
    </row>
    <row r="159" spans="13:14" x14ac:dyDescent="0.3">
      <c r="M159" s="2"/>
      <c r="N159" s="2"/>
    </row>
    <row r="160" spans="13:14" x14ac:dyDescent="0.3">
      <c r="M160" s="2"/>
      <c r="N160" s="2"/>
    </row>
    <row r="161" spans="13:14" x14ac:dyDescent="0.3">
      <c r="M161" s="2"/>
      <c r="N161" s="2"/>
    </row>
    <row r="162" spans="13:14" x14ac:dyDescent="0.3">
      <c r="M162" s="2"/>
      <c r="N162" s="2"/>
    </row>
    <row r="163" spans="13:14" x14ac:dyDescent="0.3">
      <c r="M163" s="2"/>
      <c r="N163" s="2"/>
    </row>
    <row r="164" spans="13:14" x14ac:dyDescent="0.3">
      <c r="M164" s="2"/>
      <c r="N164" s="2"/>
    </row>
    <row r="165" spans="13:14" x14ac:dyDescent="0.3">
      <c r="M165" s="2"/>
      <c r="N165" s="2"/>
    </row>
    <row r="166" spans="13:14" x14ac:dyDescent="0.3">
      <c r="M166" s="2"/>
      <c r="N166" s="2"/>
    </row>
    <row r="167" spans="13:14" x14ac:dyDescent="0.3">
      <c r="M167" s="2"/>
      <c r="N167" s="2"/>
    </row>
    <row r="168" spans="13:14" x14ac:dyDescent="0.3">
      <c r="M168" s="2"/>
      <c r="N168" s="2"/>
    </row>
    <row r="169" spans="13:14" x14ac:dyDescent="0.3">
      <c r="M169" s="2"/>
      <c r="N169" s="2"/>
    </row>
    <row r="170" spans="13:14" x14ac:dyDescent="0.3">
      <c r="M170" s="2"/>
      <c r="N170" s="2"/>
    </row>
    <row r="171" spans="13:14" x14ac:dyDescent="0.3">
      <c r="M171" s="2"/>
      <c r="N171" s="2"/>
    </row>
    <row r="172" spans="13:14" x14ac:dyDescent="0.3">
      <c r="M172" s="2"/>
      <c r="N172" s="2"/>
    </row>
    <row r="173" spans="13:14" x14ac:dyDescent="0.3">
      <c r="M173" s="2"/>
      <c r="N173" s="2"/>
    </row>
    <row r="174" spans="13:14" x14ac:dyDescent="0.3">
      <c r="M174" s="2"/>
      <c r="N174" s="2"/>
    </row>
    <row r="175" spans="13:14" x14ac:dyDescent="0.3">
      <c r="M175" s="2"/>
      <c r="N175" s="2"/>
    </row>
    <row r="176" spans="13:14" x14ac:dyDescent="0.3">
      <c r="M176" s="2"/>
      <c r="N176" s="2"/>
    </row>
    <row r="177" spans="13:14" x14ac:dyDescent="0.3">
      <c r="M177" s="2"/>
      <c r="N177" s="2"/>
    </row>
    <row r="178" spans="13:14" x14ac:dyDescent="0.3">
      <c r="M178" s="2"/>
      <c r="N178" s="2"/>
    </row>
    <row r="179" spans="13:14" x14ac:dyDescent="0.3">
      <c r="M179" s="2"/>
      <c r="N179" s="2"/>
    </row>
    <row r="180" spans="13:14" x14ac:dyDescent="0.3">
      <c r="M180" s="2"/>
      <c r="N180" s="2"/>
    </row>
    <row r="181" spans="13:14" x14ac:dyDescent="0.3">
      <c r="M181" s="2"/>
      <c r="N181" s="2"/>
    </row>
    <row r="182" spans="13:14" x14ac:dyDescent="0.3">
      <c r="M182" s="2"/>
      <c r="N182" s="2"/>
    </row>
    <row r="183" spans="13:14" x14ac:dyDescent="0.3">
      <c r="M183" s="2"/>
      <c r="N183" s="2"/>
    </row>
    <row r="184" spans="13:14" x14ac:dyDescent="0.3">
      <c r="M184" s="2"/>
      <c r="N184" s="2"/>
    </row>
    <row r="185" spans="13:14" x14ac:dyDescent="0.3">
      <c r="M185" s="2"/>
      <c r="N185" s="2"/>
    </row>
    <row r="186" spans="13:14" x14ac:dyDescent="0.3">
      <c r="M186" s="2"/>
      <c r="N186" s="2"/>
    </row>
    <row r="187" spans="13:14" x14ac:dyDescent="0.3">
      <c r="M187" s="2"/>
      <c r="N187" s="2"/>
    </row>
    <row r="188" spans="13:14" x14ac:dyDescent="0.3">
      <c r="M188" s="2"/>
      <c r="N188" s="2"/>
    </row>
    <row r="189" spans="13:14" x14ac:dyDescent="0.3">
      <c r="M189" s="2"/>
      <c r="N189" s="2"/>
    </row>
    <row r="190" spans="13:14" x14ac:dyDescent="0.3">
      <c r="M190" s="2"/>
      <c r="N190" s="2"/>
    </row>
    <row r="191" spans="13:14" x14ac:dyDescent="0.3">
      <c r="M191" s="2"/>
      <c r="N191" s="2"/>
    </row>
    <row r="192" spans="13:14" x14ac:dyDescent="0.3">
      <c r="M192" s="2"/>
      <c r="N192" s="2"/>
    </row>
    <row r="193" spans="13:14" x14ac:dyDescent="0.3">
      <c r="M193" s="2"/>
      <c r="N193" s="2"/>
    </row>
    <row r="194" spans="13:14" x14ac:dyDescent="0.3">
      <c r="M194" s="2"/>
      <c r="N194" s="2"/>
    </row>
    <row r="195" spans="13:14" x14ac:dyDescent="0.3">
      <c r="M195" s="2"/>
      <c r="N195" s="2"/>
    </row>
    <row r="196" spans="13:14" x14ac:dyDescent="0.3">
      <c r="M196" s="2"/>
      <c r="N196" s="2"/>
    </row>
    <row r="197" spans="13:14" x14ac:dyDescent="0.3">
      <c r="M197" s="2"/>
      <c r="N197" s="2"/>
    </row>
    <row r="198" spans="13:14" x14ac:dyDescent="0.3">
      <c r="M198" s="2"/>
      <c r="N198" s="2"/>
    </row>
    <row r="199" spans="13:14" x14ac:dyDescent="0.3">
      <c r="M199" s="2"/>
      <c r="N199" s="2"/>
    </row>
    <row r="200" spans="13:14" x14ac:dyDescent="0.3">
      <c r="M200" s="2"/>
      <c r="N200" s="2"/>
    </row>
    <row r="201" spans="13:14" x14ac:dyDescent="0.3">
      <c r="M201" s="2"/>
      <c r="N201" s="2"/>
    </row>
  </sheetData>
  <sortState xmlns:xlrd2="http://schemas.microsoft.com/office/spreadsheetml/2017/richdata2" ref="B2:H6">
    <sortCondition ref="H2:H6"/>
    <sortCondition descending="1" ref="D2:D6"/>
  </sortState>
  <conditionalFormatting sqref="N1:N1048576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P2:P121">
    <cfRule type="containsText" dxfId="7" priority="13" operator="containsText" text="Pass">
      <formula>NOT(ISERROR(SEARCH("Pass",P2)))</formula>
    </cfRule>
    <cfRule type="containsText" dxfId="6" priority="14" operator="containsText" text="Fail">
      <formula>NOT(ISERROR(SEARCH("Fail",P2)))</formula>
    </cfRule>
  </conditionalFormatting>
  <conditionalFormatting sqref="I1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I2:I121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K2:K121">
    <cfRule type="containsText" dxfId="5" priority="1" operator="containsText" text="Pass">
      <formula>NOT(ISERROR(SEARCH("Pass",K2)))</formula>
    </cfRule>
    <cfRule type="containsText" dxfId="4" priority="2" operator="containsText" text="Fail">
      <formula>NOT(ISERROR(SEARCH("Fail",K2)))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F554-0F95-4F21-A6AC-361BC19E1148}">
  <dimension ref="A1:I201"/>
  <sheetViews>
    <sheetView zoomScale="140" zoomScaleNormal="140" workbookViewId="0">
      <selection activeCell="G2" sqref="G2"/>
    </sheetView>
  </sheetViews>
  <sheetFormatPr defaultColWidth="15" defaultRowHeight="14.4" x14ac:dyDescent="0.3"/>
  <cols>
    <col min="1" max="1" width="11.88671875" style="1" customWidth="1"/>
    <col min="2" max="2" width="10.5546875" style="1" customWidth="1"/>
    <col min="3" max="3" width="7.6640625" style="1" customWidth="1"/>
    <col min="4" max="4" width="14.88671875" style="1" customWidth="1"/>
    <col min="5" max="5" width="10.109375" style="1" customWidth="1"/>
    <col min="6" max="6" width="9.109375" style="1" customWidth="1"/>
    <col min="7" max="7" width="21" style="1" customWidth="1"/>
    <col min="8" max="8" width="16.109375" style="1" customWidth="1"/>
    <col min="9" max="9" width="17.33203125" style="1" customWidth="1"/>
    <col min="10" max="10" width="5.6640625" style="1" customWidth="1"/>
    <col min="11" max="16384" width="15" style="1"/>
  </cols>
  <sheetData>
    <row r="1" spans="1: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54</v>
      </c>
      <c r="B2" s="1" t="s">
        <v>16</v>
      </c>
      <c r="C2" s="1">
        <v>24</v>
      </c>
      <c r="D2" s="1" t="s">
        <v>44</v>
      </c>
      <c r="E2" s="1">
        <v>4</v>
      </c>
      <c r="F2" s="1">
        <v>143.36000000000001</v>
      </c>
      <c r="G2" s="1" t="s">
        <v>22</v>
      </c>
      <c r="H2" s="2">
        <v>44992</v>
      </c>
      <c r="I2" s="1" t="s">
        <v>46</v>
      </c>
    </row>
    <row r="3" spans="1:9" x14ac:dyDescent="0.3">
      <c r="A3" s="1" t="s">
        <v>87</v>
      </c>
      <c r="B3" s="1" t="s">
        <v>10</v>
      </c>
      <c r="C3" s="1">
        <v>41</v>
      </c>
      <c r="D3" s="1" t="s">
        <v>28</v>
      </c>
      <c r="E3" s="1">
        <v>3</v>
      </c>
      <c r="F3" s="1">
        <v>45.45</v>
      </c>
      <c r="G3" s="1" t="s">
        <v>22</v>
      </c>
      <c r="H3" s="2">
        <v>44981</v>
      </c>
      <c r="I3" s="1" t="s">
        <v>33</v>
      </c>
    </row>
    <row r="4" spans="1:9" x14ac:dyDescent="0.3">
      <c r="A4" s="1" t="s">
        <v>223</v>
      </c>
      <c r="B4" s="1" t="s">
        <v>10</v>
      </c>
      <c r="C4" s="1">
        <v>31</v>
      </c>
      <c r="D4" s="1" t="s">
        <v>32</v>
      </c>
      <c r="E4" s="1">
        <v>4</v>
      </c>
      <c r="F4" s="1">
        <v>162.63999999999999</v>
      </c>
      <c r="G4" s="1" t="s">
        <v>22</v>
      </c>
      <c r="H4" s="2">
        <v>44970</v>
      </c>
      <c r="I4" s="1" t="s">
        <v>25</v>
      </c>
    </row>
    <row r="5" spans="1:9" x14ac:dyDescent="0.3">
      <c r="A5" s="1" t="s">
        <v>200</v>
      </c>
      <c r="B5" s="1" t="s">
        <v>16</v>
      </c>
      <c r="C5" s="1">
        <v>37</v>
      </c>
      <c r="D5" s="1" t="s">
        <v>11</v>
      </c>
      <c r="E5" s="1">
        <v>5</v>
      </c>
      <c r="F5" s="1">
        <v>1500.4</v>
      </c>
      <c r="G5" s="1" t="s">
        <v>22</v>
      </c>
      <c r="H5" s="2">
        <v>44966</v>
      </c>
      <c r="I5" s="1" t="s">
        <v>42</v>
      </c>
    </row>
    <row r="6" spans="1:9" x14ac:dyDescent="0.3">
      <c r="A6" s="1" t="s">
        <v>111</v>
      </c>
      <c r="B6" s="1" t="s">
        <v>16</v>
      </c>
      <c r="C6" s="1">
        <v>67</v>
      </c>
      <c r="D6" s="1" t="s">
        <v>44</v>
      </c>
      <c r="E6" s="1">
        <v>3</v>
      </c>
      <c r="F6" s="1">
        <v>107.52</v>
      </c>
      <c r="G6" s="1" t="s">
        <v>22</v>
      </c>
      <c r="H6" s="2">
        <v>44933</v>
      </c>
      <c r="I6" s="1" t="s">
        <v>42</v>
      </c>
    </row>
    <row r="7" spans="1:9" x14ac:dyDescent="0.3">
      <c r="A7" s="1" t="s">
        <v>39</v>
      </c>
      <c r="B7" s="1" t="s">
        <v>10</v>
      </c>
      <c r="C7" s="1">
        <v>36</v>
      </c>
      <c r="D7" s="1" t="s">
        <v>40</v>
      </c>
      <c r="E7" s="1">
        <v>2</v>
      </c>
      <c r="F7" s="1">
        <v>10.46</v>
      </c>
      <c r="G7" s="1" t="s">
        <v>22</v>
      </c>
      <c r="H7" s="2">
        <v>44920</v>
      </c>
      <c r="I7" s="1" t="s">
        <v>23</v>
      </c>
    </row>
    <row r="8" spans="1:9" x14ac:dyDescent="0.3">
      <c r="A8" s="1" t="s">
        <v>75</v>
      </c>
      <c r="B8" s="1" t="s">
        <v>16</v>
      </c>
      <c r="C8" s="1">
        <v>24</v>
      </c>
      <c r="D8" s="1" t="s">
        <v>11</v>
      </c>
      <c r="E8" s="1">
        <v>1</v>
      </c>
      <c r="F8" s="1">
        <v>300.08</v>
      </c>
      <c r="G8" s="1" t="s">
        <v>22</v>
      </c>
      <c r="H8" s="2">
        <v>44914</v>
      </c>
      <c r="I8" s="1" t="s">
        <v>25</v>
      </c>
    </row>
    <row r="9" spans="1:9" x14ac:dyDescent="0.3">
      <c r="A9" s="1" t="s">
        <v>178</v>
      </c>
      <c r="B9" s="1" t="s">
        <v>10</v>
      </c>
      <c r="C9" s="1">
        <v>22</v>
      </c>
      <c r="D9" s="1" t="s">
        <v>44</v>
      </c>
      <c r="E9" s="1">
        <v>1</v>
      </c>
      <c r="F9" s="1">
        <v>35.840000000000003</v>
      </c>
      <c r="G9" s="1" t="s">
        <v>22</v>
      </c>
      <c r="H9" s="2">
        <v>44913</v>
      </c>
      <c r="I9" s="1" t="s">
        <v>36</v>
      </c>
    </row>
    <row r="10" spans="1:9" x14ac:dyDescent="0.3">
      <c r="A10" s="1" t="s">
        <v>60</v>
      </c>
      <c r="B10" s="1" t="s">
        <v>10</v>
      </c>
      <c r="C10" s="1">
        <v>42</v>
      </c>
      <c r="D10" s="1" t="s">
        <v>28</v>
      </c>
      <c r="E10" s="1">
        <v>5</v>
      </c>
      <c r="F10" s="1">
        <v>75.75</v>
      </c>
      <c r="G10" s="1" t="s">
        <v>22</v>
      </c>
      <c r="H10" s="2">
        <v>44911</v>
      </c>
      <c r="I10" s="1" t="s">
        <v>23</v>
      </c>
    </row>
    <row r="11" spans="1:9" x14ac:dyDescent="0.3">
      <c r="A11" s="1" t="s">
        <v>215</v>
      </c>
      <c r="B11" s="1" t="s">
        <v>10</v>
      </c>
      <c r="C11" s="1">
        <v>56</v>
      </c>
      <c r="D11" s="1" t="s">
        <v>32</v>
      </c>
      <c r="E11" s="1">
        <v>4</v>
      </c>
      <c r="F11" s="1">
        <v>162.63999999999999</v>
      </c>
      <c r="G11" s="1" t="s">
        <v>22</v>
      </c>
      <c r="H11" s="2">
        <v>44886</v>
      </c>
      <c r="I11" s="1" t="s">
        <v>36</v>
      </c>
    </row>
    <row r="12" spans="1:9" x14ac:dyDescent="0.3">
      <c r="A12" s="1" t="s">
        <v>45</v>
      </c>
      <c r="B12" s="1" t="s">
        <v>16</v>
      </c>
      <c r="C12" s="1">
        <v>25</v>
      </c>
      <c r="D12" s="1" t="s">
        <v>11</v>
      </c>
      <c r="E12" s="1">
        <v>2</v>
      </c>
      <c r="F12" s="1">
        <v>600.16</v>
      </c>
      <c r="G12" s="1" t="s">
        <v>22</v>
      </c>
      <c r="H12" s="2">
        <v>44882</v>
      </c>
      <c r="I12" s="1" t="s">
        <v>46</v>
      </c>
    </row>
    <row r="13" spans="1:9" x14ac:dyDescent="0.3">
      <c r="A13" s="1" t="s">
        <v>236</v>
      </c>
      <c r="B13" s="1" t="s">
        <v>16</v>
      </c>
      <c r="C13" s="1">
        <v>33</v>
      </c>
      <c r="D13" s="1" t="s">
        <v>32</v>
      </c>
      <c r="E13" s="1">
        <v>5</v>
      </c>
      <c r="F13" s="1">
        <v>203.3</v>
      </c>
      <c r="G13" s="1" t="s">
        <v>22</v>
      </c>
      <c r="H13" s="2">
        <v>44878</v>
      </c>
      <c r="I13" s="1" t="s">
        <v>13</v>
      </c>
    </row>
    <row r="14" spans="1:9" x14ac:dyDescent="0.3">
      <c r="A14" s="1" t="s">
        <v>117</v>
      </c>
      <c r="B14" s="1" t="s">
        <v>16</v>
      </c>
      <c r="C14" s="1">
        <v>40</v>
      </c>
      <c r="D14" s="1" t="s">
        <v>44</v>
      </c>
      <c r="E14" s="1">
        <v>2</v>
      </c>
      <c r="F14" s="1">
        <v>71.680000000000007</v>
      </c>
      <c r="G14" s="1" t="s">
        <v>22</v>
      </c>
      <c r="H14" s="2">
        <v>44866</v>
      </c>
      <c r="I14" s="1" t="s">
        <v>42</v>
      </c>
    </row>
    <row r="15" spans="1:9" x14ac:dyDescent="0.3">
      <c r="A15" s="1" t="s">
        <v>144</v>
      </c>
      <c r="B15" s="1" t="s">
        <v>10</v>
      </c>
      <c r="C15" s="1">
        <v>64</v>
      </c>
      <c r="D15" s="1" t="s">
        <v>11</v>
      </c>
      <c r="E15" s="1">
        <v>5</v>
      </c>
      <c r="F15" s="1">
        <v>1500.4</v>
      </c>
      <c r="G15" s="1" t="s">
        <v>22</v>
      </c>
      <c r="H15" s="2">
        <v>44860</v>
      </c>
      <c r="I15" s="1" t="s">
        <v>46</v>
      </c>
    </row>
    <row r="16" spans="1:9" x14ac:dyDescent="0.3">
      <c r="A16" s="1" t="s">
        <v>151</v>
      </c>
      <c r="B16" s="1" t="s">
        <v>10</v>
      </c>
      <c r="C16" s="1">
        <v>56</v>
      </c>
      <c r="D16" s="1" t="s">
        <v>104</v>
      </c>
      <c r="E16" s="1">
        <v>5</v>
      </c>
      <c r="F16" s="1">
        <v>58.65</v>
      </c>
      <c r="G16" s="1" t="s">
        <v>22</v>
      </c>
      <c r="H16" s="2">
        <v>44853</v>
      </c>
      <c r="I16" s="1" t="s">
        <v>33</v>
      </c>
    </row>
    <row r="17" spans="1:9" x14ac:dyDescent="0.3">
      <c r="A17" s="1" t="s">
        <v>101</v>
      </c>
      <c r="B17" s="1" t="s">
        <v>16</v>
      </c>
      <c r="C17" s="1">
        <v>22</v>
      </c>
      <c r="D17" s="1" t="s">
        <v>44</v>
      </c>
      <c r="E17" s="1">
        <v>3</v>
      </c>
      <c r="F17" s="1">
        <v>107.52</v>
      </c>
      <c r="G17" s="1" t="s">
        <v>22</v>
      </c>
      <c r="H17" s="2">
        <v>44851</v>
      </c>
      <c r="I17" s="1" t="s">
        <v>36</v>
      </c>
    </row>
    <row r="18" spans="1:9" x14ac:dyDescent="0.3">
      <c r="A18" s="1" t="s">
        <v>123</v>
      </c>
      <c r="B18" s="1" t="s">
        <v>10</v>
      </c>
      <c r="C18" s="1">
        <v>52</v>
      </c>
      <c r="D18" s="1" t="s">
        <v>11</v>
      </c>
      <c r="E18" s="1">
        <v>5</v>
      </c>
      <c r="F18" s="1">
        <v>1500.4</v>
      </c>
      <c r="G18" s="1" t="s">
        <v>22</v>
      </c>
      <c r="H18" s="2">
        <v>44849</v>
      </c>
      <c r="I18" s="1" t="s">
        <v>52</v>
      </c>
    </row>
    <row r="19" spans="1:9" x14ac:dyDescent="0.3">
      <c r="A19" s="1" t="s">
        <v>63</v>
      </c>
      <c r="B19" s="1" t="s">
        <v>16</v>
      </c>
      <c r="C19" s="1">
        <v>50</v>
      </c>
      <c r="D19" s="1" t="s">
        <v>17</v>
      </c>
      <c r="E19" s="1">
        <v>4</v>
      </c>
      <c r="F19" s="1">
        <v>2400.6799999999998</v>
      </c>
      <c r="G19" s="1" t="s">
        <v>22</v>
      </c>
      <c r="H19" s="2">
        <v>44844</v>
      </c>
      <c r="I19" s="1" t="s">
        <v>42</v>
      </c>
    </row>
    <row r="20" spans="1:9" x14ac:dyDescent="0.3">
      <c r="A20" s="1" t="s">
        <v>233</v>
      </c>
      <c r="B20" s="1" t="s">
        <v>10</v>
      </c>
      <c r="C20" s="1">
        <v>32</v>
      </c>
      <c r="D20" s="1" t="s">
        <v>59</v>
      </c>
      <c r="E20" s="1">
        <v>2</v>
      </c>
      <c r="F20" s="1">
        <v>2100</v>
      </c>
      <c r="G20" s="1" t="s">
        <v>22</v>
      </c>
      <c r="H20" s="2">
        <v>44829</v>
      </c>
      <c r="I20" s="1" t="s">
        <v>52</v>
      </c>
    </row>
    <row r="21" spans="1:9" x14ac:dyDescent="0.3">
      <c r="A21" s="1" t="s">
        <v>145</v>
      </c>
      <c r="B21" s="1" t="s">
        <v>10</v>
      </c>
      <c r="C21" s="1">
        <v>57</v>
      </c>
      <c r="D21" s="1" t="s">
        <v>11</v>
      </c>
      <c r="E21" s="1">
        <v>5</v>
      </c>
      <c r="F21" s="1">
        <v>1500.4</v>
      </c>
      <c r="G21" s="1" t="s">
        <v>22</v>
      </c>
      <c r="H21" s="2">
        <v>44825</v>
      </c>
      <c r="I21" s="1" t="s">
        <v>36</v>
      </c>
    </row>
    <row r="22" spans="1:9" x14ac:dyDescent="0.3">
      <c r="A22" s="1" t="s">
        <v>107</v>
      </c>
      <c r="B22" s="1" t="s">
        <v>16</v>
      </c>
      <c r="C22" s="1">
        <v>34</v>
      </c>
      <c r="D22" s="1" t="s">
        <v>17</v>
      </c>
      <c r="E22" s="1">
        <v>5</v>
      </c>
      <c r="F22" s="1">
        <v>3000.85</v>
      </c>
      <c r="G22" s="1" t="s">
        <v>22</v>
      </c>
      <c r="H22" s="2">
        <v>44814</v>
      </c>
      <c r="I22" s="1" t="s">
        <v>19</v>
      </c>
    </row>
    <row r="23" spans="1:9" x14ac:dyDescent="0.3">
      <c r="A23" s="1" t="s">
        <v>64</v>
      </c>
      <c r="B23" s="1" t="s">
        <v>10</v>
      </c>
      <c r="C23" s="1">
        <v>65</v>
      </c>
      <c r="D23" s="1" t="s">
        <v>17</v>
      </c>
      <c r="E23" s="1">
        <v>3</v>
      </c>
      <c r="F23" s="1">
        <v>1800.51</v>
      </c>
      <c r="G23" s="1" t="s">
        <v>22</v>
      </c>
      <c r="H23" s="2">
        <v>44796</v>
      </c>
      <c r="I23" s="1" t="s">
        <v>46</v>
      </c>
    </row>
    <row r="24" spans="1:9" x14ac:dyDescent="0.3">
      <c r="A24" s="1" t="s">
        <v>127</v>
      </c>
      <c r="B24" s="1" t="s">
        <v>10</v>
      </c>
      <c r="C24" s="1">
        <v>43</v>
      </c>
      <c r="D24" s="1" t="s">
        <v>59</v>
      </c>
      <c r="E24" s="1">
        <v>2</v>
      </c>
      <c r="F24" s="1">
        <v>2100</v>
      </c>
      <c r="G24" s="1" t="s">
        <v>22</v>
      </c>
      <c r="H24" s="2">
        <v>44795</v>
      </c>
      <c r="I24" s="1" t="s">
        <v>13</v>
      </c>
    </row>
    <row r="25" spans="1:9" x14ac:dyDescent="0.3">
      <c r="A25" s="1" t="s">
        <v>109</v>
      </c>
      <c r="B25" s="1" t="s">
        <v>16</v>
      </c>
      <c r="C25" s="1">
        <v>38</v>
      </c>
      <c r="D25" s="1" t="s">
        <v>40</v>
      </c>
      <c r="E25" s="1">
        <v>5</v>
      </c>
      <c r="F25" s="1">
        <v>26.15</v>
      </c>
      <c r="G25" s="1" t="s">
        <v>22</v>
      </c>
      <c r="H25" s="2">
        <v>44794</v>
      </c>
      <c r="I25" s="1" t="s">
        <v>36</v>
      </c>
    </row>
    <row r="26" spans="1:9" x14ac:dyDescent="0.3">
      <c r="A26" s="1" t="s">
        <v>134</v>
      </c>
      <c r="B26" s="1" t="s">
        <v>16</v>
      </c>
      <c r="C26" s="1">
        <v>39</v>
      </c>
      <c r="D26" s="1" t="s">
        <v>40</v>
      </c>
      <c r="E26" s="1">
        <v>3</v>
      </c>
      <c r="F26" s="1">
        <v>15.69</v>
      </c>
      <c r="G26" s="1" t="s">
        <v>22</v>
      </c>
      <c r="H26" s="2">
        <v>44782</v>
      </c>
      <c r="I26" s="1" t="s">
        <v>19</v>
      </c>
    </row>
    <row r="27" spans="1:9" x14ac:dyDescent="0.3">
      <c r="A27" s="1" t="s">
        <v>166</v>
      </c>
      <c r="B27" s="1" t="s">
        <v>16</v>
      </c>
      <c r="C27" s="1">
        <v>25</v>
      </c>
      <c r="D27" s="1" t="s">
        <v>11</v>
      </c>
      <c r="E27" s="1">
        <v>3</v>
      </c>
      <c r="F27" s="1">
        <v>900.24</v>
      </c>
      <c r="G27" s="1" t="s">
        <v>22</v>
      </c>
      <c r="H27" s="2">
        <v>44774</v>
      </c>
      <c r="I27" s="1" t="s">
        <v>36</v>
      </c>
    </row>
    <row r="28" spans="1:9" x14ac:dyDescent="0.3">
      <c r="A28" s="1" t="s">
        <v>135</v>
      </c>
      <c r="B28" s="1" t="s">
        <v>10</v>
      </c>
      <c r="C28" s="1">
        <v>33</v>
      </c>
      <c r="D28" s="1" t="s">
        <v>11</v>
      </c>
      <c r="E28" s="1">
        <v>3</v>
      </c>
      <c r="F28" s="1">
        <v>900.24</v>
      </c>
      <c r="G28" s="1" t="s">
        <v>22</v>
      </c>
      <c r="H28" s="2">
        <v>44773</v>
      </c>
      <c r="I28" s="1" t="s">
        <v>13</v>
      </c>
    </row>
    <row r="29" spans="1:9" x14ac:dyDescent="0.3">
      <c r="A29" s="1" t="s">
        <v>115</v>
      </c>
      <c r="B29" s="1" t="s">
        <v>10</v>
      </c>
      <c r="C29" s="1">
        <v>47</v>
      </c>
      <c r="D29" s="1" t="s">
        <v>40</v>
      </c>
      <c r="E29" s="1">
        <v>5</v>
      </c>
      <c r="F29" s="1">
        <v>26.15</v>
      </c>
      <c r="G29" s="1" t="s">
        <v>22</v>
      </c>
      <c r="H29" s="2">
        <v>44762</v>
      </c>
      <c r="I29" s="1" t="s">
        <v>36</v>
      </c>
    </row>
    <row r="30" spans="1:9" x14ac:dyDescent="0.3">
      <c r="A30" s="1" t="s">
        <v>218</v>
      </c>
      <c r="B30" s="1" t="s">
        <v>10</v>
      </c>
      <c r="C30" s="1">
        <v>44</v>
      </c>
      <c r="D30" s="1" t="s">
        <v>40</v>
      </c>
      <c r="E30" s="1">
        <v>1</v>
      </c>
      <c r="F30" s="1">
        <v>5.23</v>
      </c>
      <c r="G30" s="1" t="s">
        <v>22</v>
      </c>
      <c r="H30" s="2">
        <v>44745</v>
      </c>
      <c r="I30" s="1" t="s">
        <v>25</v>
      </c>
    </row>
    <row r="31" spans="1:9" x14ac:dyDescent="0.3">
      <c r="A31" s="1" t="s">
        <v>79</v>
      </c>
      <c r="B31" s="1" t="s">
        <v>10</v>
      </c>
      <c r="C31" s="1">
        <v>40</v>
      </c>
      <c r="D31" s="1" t="s">
        <v>17</v>
      </c>
      <c r="E31" s="1">
        <v>4</v>
      </c>
      <c r="F31" s="1">
        <v>2400.6799999999998</v>
      </c>
      <c r="G31" s="1" t="s">
        <v>22</v>
      </c>
      <c r="H31" s="2">
        <v>44732</v>
      </c>
      <c r="I31" s="1" t="s">
        <v>23</v>
      </c>
    </row>
    <row r="32" spans="1:9" x14ac:dyDescent="0.3">
      <c r="A32" s="1" t="s">
        <v>125</v>
      </c>
      <c r="B32" s="1" t="s">
        <v>16</v>
      </c>
      <c r="C32" s="1">
        <v>66</v>
      </c>
      <c r="D32" s="1" t="s">
        <v>40</v>
      </c>
      <c r="E32" s="1">
        <v>1</v>
      </c>
      <c r="F32" s="1">
        <v>5.23</v>
      </c>
      <c r="G32" s="1" t="s">
        <v>22</v>
      </c>
      <c r="H32" s="2">
        <v>44719</v>
      </c>
      <c r="I32" s="1" t="s">
        <v>36</v>
      </c>
    </row>
    <row r="33" spans="1:9" x14ac:dyDescent="0.3">
      <c r="A33" s="1" t="s">
        <v>222</v>
      </c>
      <c r="B33" s="1" t="s">
        <v>10</v>
      </c>
      <c r="C33" s="1">
        <v>23</v>
      </c>
      <c r="D33" s="1" t="s">
        <v>32</v>
      </c>
      <c r="E33" s="1">
        <v>3</v>
      </c>
      <c r="F33" s="1">
        <v>121.98</v>
      </c>
      <c r="G33" s="1" t="s">
        <v>22</v>
      </c>
      <c r="H33" s="2">
        <v>44700</v>
      </c>
      <c r="I33" s="1" t="s">
        <v>36</v>
      </c>
    </row>
    <row r="34" spans="1:9" x14ac:dyDescent="0.3">
      <c r="A34" s="1" t="s">
        <v>210</v>
      </c>
      <c r="B34" s="1" t="s">
        <v>10</v>
      </c>
      <c r="C34" s="1">
        <v>59</v>
      </c>
      <c r="D34" s="1" t="s">
        <v>104</v>
      </c>
      <c r="E34" s="1">
        <v>5</v>
      </c>
      <c r="F34" s="1">
        <v>58.65</v>
      </c>
      <c r="G34" s="1" t="s">
        <v>22</v>
      </c>
      <c r="H34" s="2">
        <v>44696</v>
      </c>
      <c r="I34" s="1" t="s">
        <v>23</v>
      </c>
    </row>
    <row r="35" spans="1:9" x14ac:dyDescent="0.3">
      <c r="A35" s="1" t="s">
        <v>159</v>
      </c>
      <c r="B35" s="1" t="s">
        <v>10</v>
      </c>
      <c r="C35" s="1">
        <v>64</v>
      </c>
      <c r="D35" s="1" t="s">
        <v>59</v>
      </c>
      <c r="E35" s="1">
        <v>2</v>
      </c>
      <c r="F35" s="1">
        <v>2100</v>
      </c>
      <c r="G35" s="1" t="s">
        <v>22</v>
      </c>
      <c r="H35" s="2">
        <v>44681</v>
      </c>
      <c r="I35" s="1" t="s">
        <v>13</v>
      </c>
    </row>
    <row r="36" spans="1:9" x14ac:dyDescent="0.3">
      <c r="A36" s="1" t="s">
        <v>78</v>
      </c>
      <c r="B36" s="1" t="s">
        <v>10</v>
      </c>
      <c r="C36" s="1">
        <v>48</v>
      </c>
      <c r="D36" s="1" t="s">
        <v>32</v>
      </c>
      <c r="E36" s="1">
        <v>3</v>
      </c>
      <c r="F36" s="1">
        <v>121.98</v>
      </c>
      <c r="G36" s="1" t="s">
        <v>22</v>
      </c>
      <c r="H36" s="2">
        <v>44679</v>
      </c>
      <c r="I36" s="1" t="s">
        <v>23</v>
      </c>
    </row>
    <row r="37" spans="1:9" x14ac:dyDescent="0.3">
      <c r="A37" s="1" t="s">
        <v>105</v>
      </c>
      <c r="B37" s="1" t="s">
        <v>10</v>
      </c>
      <c r="C37" s="1">
        <v>24</v>
      </c>
      <c r="D37" s="1" t="s">
        <v>32</v>
      </c>
      <c r="E37" s="1">
        <v>5</v>
      </c>
      <c r="F37" s="1">
        <v>203.3</v>
      </c>
      <c r="G37" s="1" t="s">
        <v>22</v>
      </c>
      <c r="H37" s="2">
        <v>44678</v>
      </c>
      <c r="I37" s="1" t="s">
        <v>23</v>
      </c>
    </row>
    <row r="38" spans="1:9" x14ac:dyDescent="0.3">
      <c r="A38" s="1" t="s">
        <v>124</v>
      </c>
      <c r="B38" s="1" t="s">
        <v>16</v>
      </c>
      <c r="C38" s="1">
        <v>26</v>
      </c>
      <c r="D38" s="1" t="s">
        <v>17</v>
      </c>
      <c r="E38" s="1">
        <v>5</v>
      </c>
      <c r="F38" s="1">
        <v>3000.85</v>
      </c>
      <c r="G38" s="1" t="s">
        <v>22</v>
      </c>
      <c r="H38" s="2">
        <v>44658</v>
      </c>
      <c r="I38" s="1" t="s">
        <v>36</v>
      </c>
    </row>
    <row r="39" spans="1:9" x14ac:dyDescent="0.3">
      <c r="A39" s="1" t="s">
        <v>188</v>
      </c>
      <c r="B39" s="1" t="s">
        <v>10</v>
      </c>
      <c r="C39" s="1">
        <v>28</v>
      </c>
      <c r="D39" s="1" t="s">
        <v>32</v>
      </c>
      <c r="E39" s="1">
        <v>4</v>
      </c>
      <c r="F39" s="1">
        <v>162.63999999999999</v>
      </c>
      <c r="G39" s="1" t="s">
        <v>22</v>
      </c>
      <c r="H39" s="2">
        <v>44646</v>
      </c>
      <c r="I39" s="1" t="s">
        <v>49</v>
      </c>
    </row>
    <row r="40" spans="1:9" x14ac:dyDescent="0.3">
      <c r="A40" s="1" t="s">
        <v>150</v>
      </c>
      <c r="B40" s="1" t="s">
        <v>16</v>
      </c>
      <c r="C40" s="1">
        <v>48</v>
      </c>
      <c r="D40" s="1" t="s">
        <v>11</v>
      </c>
      <c r="E40" s="1">
        <v>1</v>
      </c>
      <c r="F40" s="1">
        <v>300.08</v>
      </c>
      <c r="G40" s="1" t="s">
        <v>22</v>
      </c>
      <c r="H40" s="2">
        <v>44639</v>
      </c>
      <c r="I40" s="1" t="s">
        <v>13</v>
      </c>
    </row>
    <row r="41" spans="1:9" x14ac:dyDescent="0.3">
      <c r="A41" s="1" t="s">
        <v>31</v>
      </c>
      <c r="B41" s="1" t="s">
        <v>10</v>
      </c>
      <c r="C41" s="1">
        <v>49</v>
      </c>
      <c r="D41" s="1" t="s">
        <v>32</v>
      </c>
      <c r="E41" s="1">
        <v>1</v>
      </c>
      <c r="F41" s="1">
        <v>40.659999999999997</v>
      </c>
      <c r="G41" s="1" t="s">
        <v>22</v>
      </c>
      <c r="H41" s="2">
        <v>44633</v>
      </c>
      <c r="I41" s="1" t="s">
        <v>33</v>
      </c>
    </row>
    <row r="42" spans="1:9" x14ac:dyDescent="0.3">
      <c r="A42" s="1" t="s">
        <v>99</v>
      </c>
      <c r="B42" s="1" t="s">
        <v>16</v>
      </c>
      <c r="C42" s="1">
        <v>66</v>
      </c>
      <c r="D42" s="1" t="s">
        <v>11</v>
      </c>
      <c r="E42" s="1">
        <v>4</v>
      </c>
      <c r="F42" s="1">
        <v>1200.32</v>
      </c>
      <c r="G42" s="1" t="s">
        <v>22</v>
      </c>
      <c r="H42" s="2">
        <v>44626</v>
      </c>
      <c r="I42" s="1" t="s">
        <v>36</v>
      </c>
    </row>
    <row r="43" spans="1:9" x14ac:dyDescent="0.3">
      <c r="A43" s="1" t="s">
        <v>74</v>
      </c>
      <c r="B43" s="1" t="s">
        <v>16</v>
      </c>
      <c r="C43" s="1">
        <v>54</v>
      </c>
      <c r="D43" s="1" t="s">
        <v>11</v>
      </c>
      <c r="E43" s="1">
        <v>2</v>
      </c>
      <c r="F43" s="1">
        <v>600.16</v>
      </c>
      <c r="G43" s="1" t="s">
        <v>22</v>
      </c>
      <c r="H43" s="2">
        <v>44619</v>
      </c>
      <c r="I43" s="1" t="s">
        <v>13</v>
      </c>
    </row>
    <row r="44" spans="1:9" x14ac:dyDescent="0.3">
      <c r="A44" s="1" t="s">
        <v>89</v>
      </c>
      <c r="B44" s="1" t="s">
        <v>10</v>
      </c>
      <c r="C44" s="1">
        <v>43</v>
      </c>
      <c r="D44" s="1" t="s">
        <v>59</v>
      </c>
      <c r="E44" s="1">
        <v>4</v>
      </c>
      <c r="F44" s="1">
        <v>4200</v>
      </c>
      <c r="G44" s="1" t="s">
        <v>22</v>
      </c>
      <c r="H44" s="2">
        <v>44614</v>
      </c>
      <c r="I44" s="1" t="s">
        <v>23</v>
      </c>
    </row>
    <row r="45" spans="1:9" x14ac:dyDescent="0.3">
      <c r="A45" s="1" t="s">
        <v>199</v>
      </c>
      <c r="B45" s="1" t="s">
        <v>16</v>
      </c>
      <c r="C45" s="1">
        <v>40</v>
      </c>
      <c r="D45" s="1" t="s">
        <v>44</v>
      </c>
      <c r="E45" s="1">
        <v>2</v>
      </c>
      <c r="F45" s="1">
        <v>71.680000000000007</v>
      </c>
      <c r="G45" s="1" t="s">
        <v>22</v>
      </c>
      <c r="H45" s="2">
        <v>44612</v>
      </c>
      <c r="I45" s="1" t="s">
        <v>13</v>
      </c>
    </row>
    <row r="46" spans="1:9" x14ac:dyDescent="0.3">
      <c r="A46" s="1" t="s">
        <v>121</v>
      </c>
      <c r="B46" s="1" t="s">
        <v>16</v>
      </c>
      <c r="C46" s="1">
        <v>22</v>
      </c>
      <c r="D46" s="1" t="s">
        <v>40</v>
      </c>
      <c r="E46" s="1">
        <v>1</v>
      </c>
      <c r="F46" s="1">
        <v>5.23</v>
      </c>
      <c r="G46" s="1" t="s">
        <v>22</v>
      </c>
      <c r="H46" s="2">
        <v>44610</v>
      </c>
      <c r="I46" s="1" t="s">
        <v>36</v>
      </c>
    </row>
    <row r="47" spans="1:9" x14ac:dyDescent="0.3">
      <c r="A47" s="1" t="s">
        <v>141</v>
      </c>
      <c r="B47" s="1" t="s">
        <v>16</v>
      </c>
      <c r="C47" s="1">
        <v>24</v>
      </c>
      <c r="D47" s="1" t="s">
        <v>32</v>
      </c>
      <c r="E47" s="1">
        <v>1</v>
      </c>
      <c r="F47" s="1">
        <v>40.659999999999997</v>
      </c>
      <c r="G47" s="1" t="s">
        <v>22</v>
      </c>
      <c r="H47" s="2">
        <v>44596</v>
      </c>
      <c r="I47" s="1" t="s">
        <v>23</v>
      </c>
    </row>
    <row r="48" spans="1:9" x14ac:dyDescent="0.3">
      <c r="A48" s="1" t="s">
        <v>102</v>
      </c>
      <c r="B48" s="1" t="s">
        <v>10</v>
      </c>
      <c r="C48" s="1">
        <v>63</v>
      </c>
      <c r="D48" s="1" t="s">
        <v>40</v>
      </c>
      <c r="E48" s="1">
        <v>3</v>
      </c>
      <c r="F48" s="1">
        <v>15.69</v>
      </c>
      <c r="G48" s="1" t="s">
        <v>22</v>
      </c>
      <c r="H48" s="2">
        <v>44583</v>
      </c>
      <c r="I48" s="1" t="s">
        <v>46</v>
      </c>
    </row>
    <row r="49" spans="1:9" x14ac:dyDescent="0.3">
      <c r="A49" s="1" t="s">
        <v>235</v>
      </c>
      <c r="B49" s="1" t="s">
        <v>10</v>
      </c>
      <c r="C49" s="1">
        <v>41</v>
      </c>
      <c r="D49" s="1" t="s">
        <v>104</v>
      </c>
      <c r="E49" s="1">
        <v>3</v>
      </c>
      <c r="F49" s="1">
        <v>35.19</v>
      </c>
      <c r="G49" s="1" t="s">
        <v>22</v>
      </c>
      <c r="H49" s="2">
        <v>44577</v>
      </c>
      <c r="I49" s="1" t="s">
        <v>46</v>
      </c>
    </row>
    <row r="50" spans="1:9" x14ac:dyDescent="0.3">
      <c r="A50" s="1" t="s">
        <v>152</v>
      </c>
      <c r="B50" s="1" t="s">
        <v>16</v>
      </c>
      <c r="C50" s="1">
        <v>35</v>
      </c>
      <c r="D50" s="1" t="s">
        <v>11</v>
      </c>
      <c r="E50" s="1">
        <v>2</v>
      </c>
      <c r="F50" s="1">
        <v>600.16</v>
      </c>
      <c r="G50" s="1" t="s">
        <v>22</v>
      </c>
      <c r="H50" s="2">
        <v>44573</v>
      </c>
      <c r="I50" s="1" t="s">
        <v>49</v>
      </c>
    </row>
    <row r="51" spans="1:9" x14ac:dyDescent="0.3">
      <c r="A51" s="1" t="s">
        <v>91</v>
      </c>
      <c r="B51" s="1" t="s">
        <v>10</v>
      </c>
      <c r="C51" s="1">
        <v>29</v>
      </c>
      <c r="D51" s="1" t="s">
        <v>11</v>
      </c>
      <c r="E51" s="1">
        <v>1</v>
      </c>
      <c r="F51" s="1">
        <v>300.08</v>
      </c>
      <c r="G51" s="1" t="s">
        <v>22</v>
      </c>
      <c r="H51" s="2">
        <v>44563</v>
      </c>
      <c r="I51" s="1" t="s">
        <v>33</v>
      </c>
    </row>
    <row r="52" spans="1:9" x14ac:dyDescent="0.3">
      <c r="A52" s="1" t="s">
        <v>192</v>
      </c>
      <c r="B52" s="1" t="s">
        <v>10</v>
      </c>
      <c r="C52" s="1">
        <v>59</v>
      </c>
      <c r="D52" s="1" t="s">
        <v>32</v>
      </c>
      <c r="E52" s="1">
        <v>5</v>
      </c>
      <c r="F52" s="1">
        <v>203.3</v>
      </c>
      <c r="G52" s="1" t="s">
        <v>22</v>
      </c>
      <c r="H52" s="2">
        <v>44550</v>
      </c>
      <c r="I52" s="1" t="s">
        <v>33</v>
      </c>
    </row>
    <row r="53" spans="1:9" x14ac:dyDescent="0.3">
      <c r="A53" s="1" t="s">
        <v>175</v>
      </c>
      <c r="B53" s="1" t="s">
        <v>16</v>
      </c>
      <c r="C53" s="1">
        <v>40</v>
      </c>
      <c r="D53" s="1" t="s">
        <v>11</v>
      </c>
      <c r="E53" s="1">
        <v>4</v>
      </c>
      <c r="F53" s="1">
        <v>1200.32</v>
      </c>
      <c r="G53" s="1" t="s">
        <v>22</v>
      </c>
      <c r="H53" s="2">
        <v>44546</v>
      </c>
      <c r="I53" s="1" t="s">
        <v>36</v>
      </c>
    </row>
    <row r="54" spans="1:9" x14ac:dyDescent="0.3">
      <c r="A54" s="1" t="s">
        <v>163</v>
      </c>
      <c r="B54" s="1" t="s">
        <v>16</v>
      </c>
      <c r="C54" s="1">
        <v>30</v>
      </c>
      <c r="D54" s="1" t="s">
        <v>40</v>
      </c>
      <c r="E54" s="1">
        <v>5</v>
      </c>
      <c r="F54" s="1">
        <v>26.15</v>
      </c>
      <c r="G54" s="1" t="s">
        <v>22</v>
      </c>
      <c r="H54" s="2">
        <v>44545</v>
      </c>
      <c r="I54" s="1" t="s">
        <v>23</v>
      </c>
    </row>
    <row r="55" spans="1:9" x14ac:dyDescent="0.3">
      <c r="A55" s="1" t="s">
        <v>95</v>
      </c>
      <c r="B55" s="1" t="s">
        <v>10</v>
      </c>
      <c r="C55" s="1">
        <v>36</v>
      </c>
      <c r="D55" s="1" t="s">
        <v>28</v>
      </c>
      <c r="E55" s="1">
        <v>4</v>
      </c>
      <c r="F55" s="1">
        <v>60.6</v>
      </c>
      <c r="G55" s="1" t="s">
        <v>22</v>
      </c>
      <c r="H55" s="2">
        <v>44544</v>
      </c>
      <c r="I55" s="1" t="s">
        <v>13</v>
      </c>
    </row>
    <row r="56" spans="1:9" x14ac:dyDescent="0.3">
      <c r="A56" s="1" t="s">
        <v>169</v>
      </c>
      <c r="B56" s="1" t="s">
        <v>16</v>
      </c>
      <c r="C56" s="1">
        <v>54</v>
      </c>
      <c r="D56" s="1" t="s">
        <v>40</v>
      </c>
      <c r="E56" s="1">
        <v>1</v>
      </c>
      <c r="F56" s="1">
        <v>5.23</v>
      </c>
      <c r="G56" s="1" t="s">
        <v>22</v>
      </c>
      <c r="H56" s="2">
        <v>44544</v>
      </c>
      <c r="I56" s="1" t="s">
        <v>25</v>
      </c>
    </row>
    <row r="57" spans="1:9" x14ac:dyDescent="0.3">
      <c r="A57" s="1" t="s">
        <v>172</v>
      </c>
      <c r="B57" s="1" t="s">
        <v>10</v>
      </c>
      <c r="C57" s="1">
        <v>45</v>
      </c>
      <c r="D57" s="1" t="s">
        <v>28</v>
      </c>
      <c r="E57" s="1">
        <v>4</v>
      </c>
      <c r="F57" s="1">
        <v>60.6</v>
      </c>
      <c r="G57" s="1" t="s">
        <v>22</v>
      </c>
      <c r="H57" s="2">
        <v>44535</v>
      </c>
      <c r="I57" s="1" t="s">
        <v>23</v>
      </c>
    </row>
    <row r="58" spans="1:9" x14ac:dyDescent="0.3">
      <c r="A58" s="1" t="s">
        <v>182</v>
      </c>
      <c r="B58" s="1" t="s">
        <v>10</v>
      </c>
      <c r="C58" s="1">
        <v>67</v>
      </c>
      <c r="D58" s="1" t="s">
        <v>32</v>
      </c>
      <c r="E58" s="1">
        <v>2</v>
      </c>
      <c r="F58" s="1">
        <v>81.319999999999993</v>
      </c>
      <c r="G58" s="1" t="s">
        <v>22</v>
      </c>
      <c r="H58" s="2">
        <v>44528</v>
      </c>
      <c r="I58" s="1" t="s">
        <v>13</v>
      </c>
    </row>
    <row r="59" spans="1:9" x14ac:dyDescent="0.3">
      <c r="A59" s="1" t="s">
        <v>92</v>
      </c>
      <c r="B59" s="1" t="s">
        <v>16</v>
      </c>
      <c r="C59" s="1">
        <v>43</v>
      </c>
      <c r="D59" s="1" t="s">
        <v>44</v>
      </c>
      <c r="E59" s="1">
        <v>2</v>
      </c>
      <c r="F59" s="1">
        <v>71.680000000000007</v>
      </c>
      <c r="G59" s="1" t="s">
        <v>22</v>
      </c>
      <c r="H59" s="2">
        <v>44526</v>
      </c>
      <c r="I59" s="1" t="s">
        <v>13</v>
      </c>
    </row>
    <row r="60" spans="1:9" x14ac:dyDescent="0.3">
      <c r="A60" s="1" t="s">
        <v>149</v>
      </c>
      <c r="B60" s="1" t="s">
        <v>10</v>
      </c>
      <c r="C60" s="1">
        <v>22</v>
      </c>
      <c r="D60" s="1" t="s">
        <v>28</v>
      </c>
      <c r="E60" s="1">
        <v>3</v>
      </c>
      <c r="F60" s="1">
        <v>45.45</v>
      </c>
      <c r="G60" s="1" t="s">
        <v>22</v>
      </c>
      <c r="H60" s="2">
        <v>44522</v>
      </c>
      <c r="I60" s="1" t="s">
        <v>13</v>
      </c>
    </row>
    <row r="61" spans="1:9" x14ac:dyDescent="0.3">
      <c r="A61" s="1" t="s">
        <v>197</v>
      </c>
      <c r="B61" s="1" t="s">
        <v>10</v>
      </c>
      <c r="C61" s="1">
        <v>51</v>
      </c>
      <c r="D61" s="1" t="s">
        <v>11</v>
      </c>
      <c r="E61" s="1">
        <v>4</v>
      </c>
      <c r="F61" s="1">
        <v>1200.32</v>
      </c>
      <c r="G61" s="1" t="s">
        <v>22</v>
      </c>
      <c r="H61" s="2">
        <v>44520</v>
      </c>
      <c r="I61" s="1" t="s">
        <v>46</v>
      </c>
    </row>
    <row r="62" spans="1:9" x14ac:dyDescent="0.3">
      <c r="A62" s="1" t="s">
        <v>21</v>
      </c>
      <c r="B62" s="1" t="s">
        <v>16</v>
      </c>
      <c r="C62" s="1">
        <v>20</v>
      </c>
      <c r="D62" s="1" t="s">
        <v>11</v>
      </c>
      <c r="E62" s="1">
        <v>1</v>
      </c>
      <c r="F62" s="1">
        <v>300.08</v>
      </c>
      <c r="G62" s="1" t="s">
        <v>22</v>
      </c>
      <c r="H62" s="2">
        <v>44509</v>
      </c>
      <c r="I62" s="1" t="s">
        <v>23</v>
      </c>
    </row>
    <row r="63" spans="1:9" x14ac:dyDescent="0.3">
      <c r="A63" s="1" t="s">
        <v>227</v>
      </c>
      <c r="B63" s="1" t="s">
        <v>10</v>
      </c>
      <c r="C63" s="1">
        <v>29</v>
      </c>
      <c r="D63" s="1" t="s">
        <v>11</v>
      </c>
      <c r="E63" s="1">
        <v>2</v>
      </c>
      <c r="F63" s="1">
        <v>600.16</v>
      </c>
      <c r="G63" s="1" t="s">
        <v>22</v>
      </c>
      <c r="H63" s="2">
        <v>44504</v>
      </c>
      <c r="I63" s="1" t="s">
        <v>13</v>
      </c>
    </row>
    <row r="64" spans="1:9" x14ac:dyDescent="0.3">
      <c r="A64" s="1" t="s">
        <v>58</v>
      </c>
      <c r="B64" s="1" t="s">
        <v>16</v>
      </c>
      <c r="C64" s="1">
        <v>44</v>
      </c>
      <c r="D64" s="1" t="s">
        <v>59</v>
      </c>
      <c r="E64" s="1">
        <v>5</v>
      </c>
      <c r="F64" s="1">
        <v>5250</v>
      </c>
      <c r="G64" s="1" t="s">
        <v>22</v>
      </c>
      <c r="H64" s="2">
        <v>44495</v>
      </c>
      <c r="I64" s="1" t="s">
        <v>13</v>
      </c>
    </row>
    <row r="65" spans="1:9" x14ac:dyDescent="0.3">
      <c r="A65" s="1" t="s">
        <v>177</v>
      </c>
      <c r="B65" s="1" t="s">
        <v>10</v>
      </c>
      <c r="C65" s="1">
        <v>28</v>
      </c>
      <c r="D65" s="1" t="s">
        <v>11</v>
      </c>
      <c r="E65" s="1">
        <v>3</v>
      </c>
      <c r="F65" s="1">
        <v>900.24</v>
      </c>
      <c r="G65" s="1" t="s">
        <v>22</v>
      </c>
      <c r="H65" s="2">
        <v>44495</v>
      </c>
      <c r="I65" s="1" t="s">
        <v>36</v>
      </c>
    </row>
    <row r="66" spans="1:9" x14ac:dyDescent="0.3">
      <c r="A66" s="1" t="s">
        <v>168</v>
      </c>
      <c r="B66" s="1" t="s">
        <v>10</v>
      </c>
      <c r="C66" s="1">
        <v>42</v>
      </c>
      <c r="D66" s="1" t="s">
        <v>40</v>
      </c>
      <c r="E66" s="1">
        <v>5</v>
      </c>
      <c r="F66" s="1">
        <v>26.15</v>
      </c>
      <c r="G66" s="1" t="s">
        <v>22</v>
      </c>
      <c r="H66" s="2">
        <v>44494</v>
      </c>
      <c r="I66" s="1" t="s">
        <v>23</v>
      </c>
    </row>
    <row r="67" spans="1:9" x14ac:dyDescent="0.3">
      <c r="A67" s="1" t="s">
        <v>27</v>
      </c>
      <c r="B67" s="1" t="s">
        <v>10</v>
      </c>
      <c r="C67" s="1">
        <v>53</v>
      </c>
      <c r="D67" s="1" t="s">
        <v>28</v>
      </c>
      <c r="E67" s="1">
        <v>4</v>
      </c>
      <c r="F67" s="1">
        <v>60.6</v>
      </c>
      <c r="G67" s="1" t="s">
        <v>22</v>
      </c>
      <c r="H67" s="2">
        <v>44493</v>
      </c>
      <c r="I67" s="1" t="s">
        <v>13</v>
      </c>
    </row>
    <row r="68" spans="1:9" x14ac:dyDescent="0.3">
      <c r="A68" s="1" t="s">
        <v>203</v>
      </c>
      <c r="B68" s="1" t="s">
        <v>10</v>
      </c>
      <c r="C68" s="1">
        <v>61</v>
      </c>
      <c r="D68" s="1" t="s">
        <v>32</v>
      </c>
      <c r="E68" s="1">
        <v>4</v>
      </c>
      <c r="F68" s="1">
        <v>162.63999999999999</v>
      </c>
      <c r="G68" s="1" t="s">
        <v>22</v>
      </c>
      <c r="H68" s="2">
        <v>44490</v>
      </c>
      <c r="I68" s="1" t="s">
        <v>13</v>
      </c>
    </row>
    <row r="69" spans="1:9" x14ac:dyDescent="0.3">
      <c r="A69" s="1" t="s">
        <v>226</v>
      </c>
      <c r="B69" s="1" t="s">
        <v>10</v>
      </c>
      <c r="C69" s="1">
        <v>34</v>
      </c>
      <c r="D69" s="1" t="s">
        <v>44</v>
      </c>
      <c r="E69" s="1">
        <v>4</v>
      </c>
      <c r="F69" s="1">
        <v>143.36000000000001</v>
      </c>
      <c r="G69" s="1" t="s">
        <v>22</v>
      </c>
      <c r="H69" s="2">
        <v>44485</v>
      </c>
      <c r="I69" s="1" t="s">
        <v>13</v>
      </c>
    </row>
    <row r="70" spans="1:9" x14ac:dyDescent="0.3">
      <c r="A70" s="1" t="s">
        <v>165</v>
      </c>
      <c r="B70" s="1" t="s">
        <v>10</v>
      </c>
      <c r="C70" s="1">
        <v>29</v>
      </c>
      <c r="D70" s="1" t="s">
        <v>11</v>
      </c>
      <c r="E70" s="1">
        <v>2</v>
      </c>
      <c r="F70" s="1">
        <v>600.16</v>
      </c>
      <c r="G70" s="1" t="s">
        <v>22</v>
      </c>
      <c r="H70" s="2">
        <v>44477</v>
      </c>
      <c r="I70" s="1" t="s">
        <v>13</v>
      </c>
    </row>
    <row r="71" spans="1:9" x14ac:dyDescent="0.3">
      <c r="A71" s="1" t="s">
        <v>206</v>
      </c>
      <c r="B71" s="1" t="s">
        <v>10</v>
      </c>
      <c r="C71" s="1">
        <v>59</v>
      </c>
      <c r="D71" s="1" t="s">
        <v>17</v>
      </c>
      <c r="E71" s="1">
        <v>1</v>
      </c>
      <c r="F71" s="1">
        <v>600.16999999999996</v>
      </c>
      <c r="G71" s="1" t="s">
        <v>22</v>
      </c>
      <c r="H71" s="2">
        <v>44474</v>
      </c>
      <c r="I71" s="1" t="s">
        <v>13</v>
      </c>
    </row>
    <row r="72" spans="1:9" x14ac:dyDescent="0.3">
      <c r="A72" s="1" t="s">
        <v>76</v>
      </c>
      <c r="B72" s="1" t="s">
        <v>10</v>
      </c>
      <c r="C72" s="1">
        <v>49</v>
      </c>
      <c r="D72" s="1" t="s">
        <v>40</v>
      </c>
      <c r="E72" s="1">
        <v>3</v>
      </c>
      <c r="F72" s="1">
        <v>15.69</v>
      </c>
      <c r="G72" s="1" t="s">
        <v>22</v>
      </c>
      <c r="H72" s="2">
        <v>44449</v>
      </c>
      <c r="I72" s="1" t="s">
        <v>52</v>
      </c>
    </row>
    <row r="73" spans="1:9" x14ac:dyDescent="0.3">
      <c r="A73" s="1" t="s">
        <v>167</v>
      </c>
      <c r="B73" s="1" t="s">
        <v>10</v>
      </c>
      <c r="C73" s="1">
        <v>60</v>
      </c>
      <c r="D73" s="1" t="s">
        <v>11</v>
      </c>
      <c r="E73" s="1">
        <v>4</v>
      </c>
      <c r="F73" s="1">
        <v>1200.32</v>
      </c>
      <c r="G73" s="1" t="s">
        <v>22</v>
      </c>
      <c r="H73" s="2">
        <v>44448</v>
      </c>
      <c r="I73" s="1" t="s">
        <v>13</v>
      </c>
    </row>
    <row r="74" spans="1:9" x14ac:dyDescent="0.3">
      <c r="A74" s="1" t="s">
        <v>114</v>
      </c>
      <c r="B74" s="1" t="s">
        <v>10</v>
      </c>
      <c r="C74" s="1">
        <v>69</v>
      </c>
      <c r="D74" s="1" t="s">
        <v>17</v>
      </c>
      <c r="E74" s="1">
        <v>4</v>
      </c>
      <c r="F74" s="1">
        <v>2400.6799999999998</v>
      </c>
      <c r="G74" s="1" t="s">
        <v>22</v>
      </c>
      <c r="H74" s="2">
        <v>44443</v>
      </c>
      <c r="I74" s="1" t="s">
        <v>23</v>
      </c>
    </row>
    <row r="75" spans="1:9" x14ac:dyDescent="0.3">
      <c r="A75" s="1" t="s">
        <v>108</v>
      </c>
      <c r="B75" s="1" t="s">
        <v>10</v>
      </c>
      <c r="C75" s="1">
        <v>47</v>
      </c>
      <c r="D75" s="1" t="s">
        <v>32</v>
      </c>
      <c r="E75" s="1">
        <v>4</v>
      </c>
      <c r="F75" s="1">
        <v>162.63999999999999</v>
      </c>
      <c r="G75" s="1" t="s">
        <v>22</v>
      </c>
      <c r="H75" s="2">
        <v>44443</v>
      </c>
      <c r="I75" s="1" t="s">
        <v>13</v>
      </c>
    </row>
    <row r="76" spans="1:9" x14ac:dyDescent="0.3">
      <c r="A76" s="1" t="s">
        <v>86</v>
      </c>
      <c r="B76" s="1" t="s">
        <v>10</v>
      </c>
      <c r="C76" s="1">
        <v>61</v>
      </c>
      <c r="D76" s="1" t="s">
        <v>32</v>
      </c>
      <c r="E76" s="1">
        <v>5</v>
      </c>
      <c r="F76" s="1">
        <v>203.3</v>
      </c>
      <c r="G76" s="1" t="s">
        <v>22</v>
      </c>
      <c r="H76" s="2">
        <v>44431</v>
      </c>
      <c r="I76" s="1" t="s">
        <v>42</v>
      </c>
    </row>
    <row r="77" spans="1:9" x14ac:dyDescent="0.3">
      <c r="A77" s="1" t="s">
        <v>147</v>
      </c>
      <c r="B77" s="1" t="s">
        <v>10</v>
      </c>
      <c r="C77" s="1">
        <v>26</v>
      </c>
      <c r="D77" s="1" t="s">
        <v>11</v>
      </c>
      <c r="E77" s="1">
        <v>4</v>
      </c>
      <c r="F77" s="1">
        <v>1200.32</v>
      </c>
      <c r="G77" s="1" t="s">
        <v>22</v>
      </c>
      <c r="H77" s="2">
        <v>44429</v>
      </c>
      <c r="I77" s="1" t="s">
        <v>52</v>
      </c>
    </row>
    <row r="78" spans="1:9" x14ac:dyDescent="0.3">
      <c r="A78" s="1" t="s">
        <v>183</v>
      </c>
      <c r="B78" s="1" t="s">
        <v>16</v>
      </c>
      <c r="C78" s="1">
        <v>52</v>
      </c>
      <c r="D78" s="1" t="s">
        <v>17</v>
      </c>
      <c r="E78" s="1">
        <v>5</v>
      </c>
      <c r="F78" s="1">
        <v>3000.85</v>
      </c>
      <c r="G78" s="1" t="s">
        <v>22</v>
      </c>
      <c r="H78" s="2">
        <v>44411</v>
      </c>
      <c r="I78" s="1" t="s">
        <v>13</v>
      </c>
    </row>
    <row r="79" spans="1:9" x14ac:dyDescent="0.3">
      <c r="A79" s="1" t="s">
        <v>53</v>
      </c>
      <c r="B79" s="1" t="s">
        <v>10</v>
      </c>
      <c r="C79" s="1">
        <v>46</v>
      </c>
      <c r="D79" s="1" t="s">
        <v>11</v>
      </c>
      <c r="E79" s="1">
        <v>2</v>
      </c>
      <c r="F79" s="1">
        <v>600.16</v>
      </c>
      <c r="G79" s="1" t="s">
        <v>22</v>
      </c>
      <c r="H79" s="2">
        <v>44403</v>
      </c>
      <c r="I79" s="1" t="s">
        <v>25</v>
      </c>
    </row>
    <row r="80" spans="1:9" x14ac:dyDescent="0.3">
      <c r="A80" s="1" t="s">
        <v>232</v>
      </c>
      <c r="B80" s="1" t="s">
        <v>16</v>
      </c>
      <c r="C80" s="1">
        <v>21</v>
      </c>
      <c r="D80" s="1" t="s">
        <v>28</v>
      </c>
      <c r="E80" s="1">
        <v>4</v>
      </c>
      <c r="F80" s="1">
        <v>60.6</v>
      </c>
      <c r="G80" s="1" t="s">
        <v>22</v>
      </c>
      <c r="H80" s="2">
        <v>44399</v>
      </c>
      <c r="I80" s="1" t="s">
        <v>36</v>
      </c>
    </row>
    <row r="81" spans="1:9" x14ac:dyDescent="0.3">
      <c r="A81" s="1" t="s">
        <v>221</v>
      </c>
      <c r="B81" s="1" t="s">
        <v>16</v>
      </c>
      <c r="C81" s="1">
        <v>50</v>
      </c>
      <c r="D81" s="1" t="s">
        <v>11</v>
      </c>
      <c r="E81" s="1">
        <v>4</v>
      </c>
      <c r="F81" s="1">
        <v>1200.32</v>
      </c>
      <c r="G81" s="1" t="s">
        <v>22</v>
      </c>
      <c r="H81" s="2">
        <v>44389</v>
      </c>
      <c r="I81" s="1" t="s">
        <v>49</v>
      </c>
    </row>
    <row r="82" spans="1:9" x14ac:dyDescent="0.3">
      <c r="A82" s="1" t="s">
        <v>186</v>
      </c>
      <c r="B82" s="1" t="s">
        <v>10</v>
      </c>
      <c r="C82" s="1">
        <v>53</v>
      </c>
      <c r="D82" s="1" t="s">
        <v>40</v>
      </c>
      <c r="E82" s="1">
        <v>3</v>
      </c>
      <c r="F82" s="1">
        <v>15.69</v>
      </c>
      <c r="G82" s="1" t="s">
        <v>22</v>
      </c>
      <c r="H82" s="2">
        <v>44389</v>
      </c>
      <c r="I82" s="1" t="s">
        <v>23</v>
      </c>
    </row>
    <row r="83" spans="1:9" x14ac:dyDescent="0.3">
      <c r="A83" s="1" t="s">
        <v>187</v>
      </c>
      <c r="B83" s="1" t="s">
        <v>16</v>
      </c>
      <c r="C83" s="1">
        <v>27</v>
      </c>
      <c r="D83" s="1" t="s">
        <v>44</v>
      </c>
      <c r="E83" s="1">
        <v>4</v>
      </c>
      <c r="F83" s="1">
        <v>143.36000000000001</v>
      </c>
      <c r="G83" s="1" t="s">
        <v>22</v>
      </c>
      <c r="H83" s="2">
        <v>44380</v>
      </c>
      <c r="I83" s="1" t="s">
        <v>36</v>
      </c>
    </row>
    <row r="84" spans="1:9" x14ac:dyDescent="0.3">
      <c r="A84" s="1" t="s">
        <v>94</v>
      </c>
      <c r="B84" s="1" t="s">
        <v>10</v>
      </c>
      <c r="C84" s="1">
        <v>67</v>
      </c>
      <c r="D84" s="1" t="s">
        <v>40</v>
      </c>
      <c r="E84" s="1">
        <v>3</v>
      </c>
      <c r="F84" s="1">
        <v>15.69</v>
      </c>
      <c r="G84" s="1" t="s">
        <v>22</v>
      </c>
      <c r="H84" s="2">
        <v>44370</v>
      </c>
      <c r="I84" s="1" t="s">
        <v>13</v>
      </c>
    </row>
    <row r="85" spans="1:9" x14ac:dyDescent="0.3">
      <c r="A85" s="1" t="s">
        <v>170</v>
      </c>
      <c r="B85" s="1" t="s">
        <v>10</v>
      </c>
      <c r="C85" s="1">
        <v>50</v>
      </c>
      <c r="D85" s="1" t="s">
        <v>11</v>
      </c>
      <c r="E85" s="1">
        <v>5</v>
      </c>
      <c r="F85" s="1">
        <v>1500.4</v>
      </c>
      <c r="G85" s="1" t="s">
        <v>22</v>
      </c>
      <c r="H85" s="2">
        <v>44367</v>
      </c>
      <c r="I85" s="1" t="s">
        <v>13</v>
      </c>
    </row>
    <row r="86" spans="1:9" x14ac:dyDescent="0.3">
      <c r="A86" s="1" t="s">
        <v>160</v>
      </c>
      <c r="B86" s="1" t="s">
        <v>10</v>
      </c>
      <c r="C86" s="1">
        <v>60</v>
      </c>
      <c r="D86" s="1" t="s">
        <v>44</v>
      </c>
      <c r="E86" s="1">
        <v>4</v>
      </c>
      <c r="F86" s="1">
        <v>143.36000000000001</v>
      </c>
      <c r="G86" s="1" t="s">
        <v>22</v>
      </c>
      <c r="H86" s="2">
        <v>44354</v>
      </c>
      <c r="I86" s="1" t="s">
        <v>19</v>
      </c>
    </row>
    <row r="87" spans="1:9" x14ac:dyDescent="0.3">
      <c r="A87" s="1" t="s">
        <v>56</v>
      </c>
      <c r="B87" s="1" t="s">
        <v>10</v>
      </c>
      <c r="C87" s="1">
        <v>27</v>
      </c>
      <c r="D87" s="1" t="s">
        <v>40</v>
      </c>
      <c r="E87" s="1">
        <v>1</v>
      </c>
      <c r="F87" s="1">
        <v>5.23</v>
      </c>
      <c r="G87" s="1" t="s">
        <v>22</v>
      </c>
      <c r="H87" s="2">
        <v>44317</v>
      </c>
      <c r="I87" s="1" t="s">
        <v>46</v>
      </c>
    </row>
    <row r="88" spans="1:9" x14ac:dyDescent="0.3">
      <c r="A88" s="1" t="s">
        <v>122</v>
      </c>
      <c r="B88" s="1" t="s">
        <v>16</v>
      </c>
      <c r="C88" s="1">
        <v>53</v>
      </c>
      <c r="D88" s="1" t="s">
        <v>40</v>
      </c>
      <c r="E88" s="1">
        <v>2</v>
      </c>
      <c r="F88" s="1">
        <v>10.46</v>
      </c>
      <c r="G88" s="1" t="s">
        <v>22</v>
      </c>
      <c r="H88" s="2">
        <v>44308</v>
      </c>
      <c r="I88" s="1" t="s">
        <v>13</v>
      </c>
    </row>
    <row r="89" spans="1:9" x14ac:dyDescent="0.3">
      <c r="A89" s="1" t="s">
        <v>207</v>
      </c>
      <c r="B89" s="1" t="s">
        <v>16</v>
      </c>
      <c r="C89" s="1">
        <v>38</v>
      </c>
      <c r="D89" s="1" t="s">
        <v>11</v>
      </c>
      <c r="E89" s="1">
        <v>4</v>
      </c>
      <c r="F89" s="1">
        <v>1200.32</v>
      </c>
      <c r="G89" s="1" t="s">
        <v>22</v>
      </c>
      <c r="H89" s="2">
        <v>44302</v>
      </c>
      <c r="I89" s="1" t="s">
        <v>25</v>
      </c>
    </row>
    <row r="90" spans="1:9" x14ac:dyDescent="0.3">
      <c r="A90" s="1" t="s">
        <v>217</v>
      </c>
      <c r="B90" s="1" t="s">
        <v>16</v>
      </c>
      <c r="C90" s="1">
        <v>28</v>
      </c>
      <c r="D90" s="1" t="s">
        <v>11</v>
      </c>
      <c r="E90" s="1">
        <v>3</v>
      </c>
      <c r="F90" s="1">
        <v>900.24</v>
      </c>
      <c r="G90" s="1" t="s">
        <v>22</v>
      </c>
      <c r="H90" s="2">
        <v>44289</v>
      </c>
      <c r="I90" s="1" t="s">
        <v>46</v>
      </c>
    </row>
    <row r="91" spans="1:9" x14ac:dyDescent="0.3">
      <c r="A91" s="1" t="s">
        <v>119</v>
      </c>
      <c r="B91" s="1" t="s">
        <v>16</v>
      </c>
      <c r="C91" s="1">
        <v>30</v>
      </c>
      <c r="D91" s="1" t="s">
        <v>104</v>
      </c>
      <c r="E91" s="1">
        <v>2</v>
      </c>
      <c r="F91" s="1">
        <v>23.46</v>
      </c>
      <c r="G91" s="1" t="s">
        <v>22</v>
      </c>
      <c r="H91" s="2">
        <v>44280</v>
      </c>
      <c r="I91" s="1" t="s">
        <v>13</v>
      </c>
    </row>
    <row r="92" spans="1:9" x14ac:dyDescent="0.3">
      <c r="A92" s="1" t="s">
        <v>201</v>
      </c>
      <c r="B92" s="1" t="s">
        <v>10</v>
      </c>
      <c r="C92" s="1">
        <v>24</v>
      </c>
      <c r="D92" s="1" t="s">
        <v>11</v>
      </c>
      <c r="E92" s="1">
        <v>1</v>
      </c>
      <c r="F92" s="1">
        <v>300.08</v>
      </c>
      <c r="G92" s="1" t="s">
        <v>22</v>
      </c>
      <c r="H92" s="2">
        <v>44279</v>
      </c>
      <c r="I92" s="1" t="s">
        <v>36</v>
      </c>
    </row>
    <row r="93" spans="1:9" x14ac:dyDescent="0.3">
      <c r="A93" s="1" t="s">
        <v>209</v>
      </c>
      <c r="B93" s="1" t="s">
        <v>10</v>
      </c>
      <c r="C93" s="1">
        <v>26</v>
      </c>
      <c r="D93" s="1" t="s">
        <v>11</v>
      </c>
      <c r="E93" s="1">
        <v>1</v>
      </c>
      <c r="F93" s="1">
        <v>300.08</v>
      </c>
      <c r="G93" s="1" t="s">
        <v>22</v>
      </c>
      <c r="H93" s="2">
        <v>44275</v>
      </c>
      <c r="I93" s="1" t="s">
        <v>13</v>
      </c>
    </row>
    <row r="94" spans="1:9" x14ac:dyDescent="0.3">
      <c r="A94" s="1" t="s">
        <v>225</v>
      </c>
      <c r="B94" s="1" t="s">
        <v>10</v>
      </c>
      <c r="C94" s="1">
        <v>56</v>
      </c>
      <c r="D94" s="1" t="s">
        <v>40</v>
      </c>
      <c r="E94" s="1">
        <v>3</v>
      </c>
      <c r="F94" s="1">
        <v>15.69</v>
      </c>
      <c r="G94" s="1" t="s">
        <v>22</v>
      </c>
      <c r="H94" s="2">
        <v>44257</v>
      </c>
      <c r="I94" s="1" t="s">
        <v>49</v>
      </c>
    </row>
    <row r="95" spans="1:9" x14ac:dyDescent="0.3">
      <c r="A95" s="1" t="s">
        <v>219</v>
      </c>
      <c r="B95" s="1" t="s">
        <v>10</v>
      </c>
      <c r="C95" s="1">
        <v>26</v>
      </c>
      <c r="D95" s="1" t="s">
        <v>40</v>
      </c>
      <c r="E95" s="1">
        <v>4</v>
      </c>
      <c r="F95" s="1">
        <v>20.92</v>
      </c>
      <c r="G95" s="1" t="s">
        <v>22</v>
      </c>
      <c r="H95" s="2">
        <v>44241</v>
      </c>
      <c r="I95" s="1" t="s">
        <v>36</v>
      </c>
    </row>
    <row r="96" spans="1:9" x14ac:dyDescent="0.3">
      <c r="A96" s="1" t="s">
        <v>231</v>
      </c>
      <c r="B96" s="1" t="s">
        <v>16</v>
      </c>
      <c r="C96" s="1">
        <v>40</v>
      </c>
      <c r="D96" s="1" t="s">
        <v>32</v>
      </c>
      <c r="E96" s="1">
        <v>5</v>
      </c>
      <c r="F96" s="1">
        <v>203.3</v>
      </c>
      <c r="G96" s="1" t="s">
        <v>22</v>
      </c>
      <c r="H96" s="2">
        <v>44214</v>
      </c>
      <c r="I96" s="1" t="s">
        <v>33</v>
      </c>
    </row>
    <row r="97" spans="1:9" x14ac:dyDescent="0.3">
      <c r="A97" s="1" t="s">
        <v>55</v>
      </c>
      <c r="B97" s="1" t="s">
        <v>16</v>
      </c>
      <c r="C97" s="1">
        <v>23</v>
      </c>
      <c r="D97" s="1" t="s">
        <v>11</v>
      </c>
      <c r="E97" s="1">
        <v>1</v>
      </c>
      <c r="F97" s="1">
        <v>300.08</v>
      </c>
      <c r="G97" s="1" t="s">
        <v>12</v>
      </c>
      <c r="H97" s="2">
        <v>44972</v>
      </c>
      <c r="I97" s="1" t="s">
        <v>42</v>
      </c>
    </row>
    <row r="98" spans="1:9" x14ac:dyDescent="0.3">
      <c r="A98" s="1" t="s">
        <v>180</v>
      </c>
      <c r="B98" s="1" t="s">
        <v>10</v>
      </c>
      <c r="C98" s="1">
        <v>31</v>
      </c>
      <c r="D98" s="1" t="s">
        <v>11</v>
      </c>
      <c r="E98" s="1">
        <v>2</v>
      </c>
      <c r="F98" s="1">
        <v>600.16</v>
      </c>
      <c r="G98" s="1" t="s">
        <v>12</v>
      </c>
      <c r="H98" s="2">
        <v>44958</v>
      </c>
      <c r="I98" s="1" t="s">
        <v>13</v>
      </c>
    </row>
    <row r="99" spans="1:9" x14ac:dyDescent="0.3">
      <c r="A99" s="1" t="s">
        <v>139</v>
      </c>
      <c r="B99" s="1" t="s">
        <v>16</v>
      </c>
      <c r="C99" s="1">
        <v>55</v>
      </c>
      <c r="D99" s="1" t="s">
        <v>11</v>
      </c>
      <c r="E99" s="1">
        <v>4</v>
      </c>
      <c r="F99" s="1">
        <v>1200.32</v>
      </c>
      <c r="G99" s="1" t="s">
        <v>12</v>
      </c>
      <c r="H99" s="2">
        <v>44950</v>
      </c>
      <c r="I99" s="1" t="s">
        <v>13</v>
      </c>
    </row>
    <row r="100" spans="1:9" x14ac:dyDescent="0.3">
      <c r="A100" s="1" t="s">
        <v>154</v>
      </c>
      <c r="B100" s="1" t="s">
        <v>10</v>
      </c>
      <c r="C100" s="1">
        <v>32</v>
      </c>
      <c r="D100" s="1" t="s">
        <v>11</v>
      </c>
      <c r="E100" s="1">
        <v>1</v>
      </c>
      <c r="F100" s="1">
        <v>300.08</v>
      </c>
      <c r="G100" s="1" t="s">
        <v>12</v>
      </c>
      <c r="H100" s="2">
        <v>44941</v>
      </c>
      <c r="I100" s="1" t="s">
        <v>19</v>
      </c>
    </row>
    <row r="101" spans="1:9" x14ac:dyDescent="0.3">
      <c r="A101" s="1" t="s">
        <v>82</v>
      </c>
      <c r="B101" s="1" t="s">
        <v>10</v>
      </c>
      <c r="C101" s="1">
        <v>19</v>
      </c>
      <c r="D101" s="1" t="s">
        <v>32</v>
      </c>
      <c r="E101" s="1">
        <v>3</v>
      </c>
      <c r="F101" s="1">
        <v>121.98</v>
      </c>
      <c r="G101" s="1" t="s">
        <v>12</v>
      </c>
      <c r="H101" s="2">
        <v>44938</v>
      </c>
      <c r="I101" s="1" t="s">
        <v>36</v>
      </c>
    </row>
    <row r="102" spans="1:9" x14ac:dyDescent="0.3">
      <c r="A102" s="1" t="s">
        <v>88</v>
      </c>
      <c r="B102" s="1" t="s">
        <v>10</v>
      </c>
      <c r="C102" s="1">
        <v>53</v>
      </c>
      <c r="D102" s="1" t="s">
        <v>32</v>
      </c>
      <c r="E102" s="1">
        <v>2</v>
      </c>
      <c r="F102" s="1">
        <v>81.319999999999993</v>
      </c>
      <c r="G102" s="1" t="s">
        <v>12</v>
      </c>
      <c r="H102" s="2">
        <v>44938</v>
      </c>
      <c r="I102" s="1" t="s">
        <v>33</v>
      </c>
    </row>
    <row r="103" spans="1:9" x14ac:dyDescent="0.3">
      <c r="A103" s="1" t="s">
        <v>228</v>
      </c>
      <c r="B103" s="1" t="s">
        <v>10</v>
      </c>
      <c r="C103" s="1">
        <v>20</v>
      </c>
      <c r="D103" s="1" t="s">
        <v>11</v>
      </c>
      <c r="E103" s="1">
        <v>1</v>
      </c>
      <c r="F103" s="1">
        <v>300.08</v>
      </c>
      <c r="G103" s="1" t="s">
        <v>12</v>
      </c>
      <c r="H103" s="2">
        <v>44937</v>
      </c>
      <c r="I103" s="1" t="s">
        <v>36</v>
      </c>
    </row>
    <row r="104" spans="1:9" x14ac:dyDescent="0.3">
      <c r="A104" s="1" t="s">
        <v>118</v>
      </c>
      <c r="B104" s="1" t="s">
        <v>16</v>
      </c>
      <c r="C104" s="1">
        <v>60</v>
      </c>
      <c r="D104" s="1" t="s">
        <v>32</v>
      </c>
      <c r="E104" s="1">
        <v>4</v>
      </c>
      <c r="F104" s="1">
        <v>162.63999999999999</v>
      </c>
      <c r="G104" s="1" t="s">
        <v>12</v>
      </c>
      <c r="H104" s="2">
        <v>44932</v>
      </c>
      <c r="I104" s="1" t="s">
        <v>23</v>
      </c>
    </row>
    <row r="105" spans="1:9" x14ac:dyDescent="0.3">
      <c r="A105" s="1" t="s">
        <v>71</v>
      </c>
      <c r="B105" s="1" t="s">
        <v>16</v>
      </c>
      <c r="C105" s="1">
        <v>68</v>
      </c>
      <c r="D105" s="1" t="s">
        <v>40</v>
      </c>
      <c r="E105" s="1">
        <v>1</v>
      </c>
      <c r="F105" s="1">
        <v>5.23</v>
      </c>
      <c r="G105" s="1" t="s">
        <v>12</v>
      </c>
      <c r="H105" s="2">
        <v>44930</v>
      </c>
      <c r="I105" s="1" t="s">
        <v>42</v>
      </c>
    </row>
    <row r="106" spans="1:9" x14ac:dyDescent="0.3">
      <c r="A106" s="1" t="s">
        <v>133</v>
      </c>
      <c r="B106" s="1" t="s">
        <v>16</v>
      </c>
      <c r="C106" s="1">
        <v>62</v>
      </c>
      <c r="D106" s="1" t="s">
        <v>11</v>
      </c>
      <c r="E106" s="1">
        <v>5</v>
      </c>
      <c r="F106" s="1">
        <v>1500.4</v>
      </c>
      <c r="G106" s="1" t="s">
        <v>12</v>
      </c>
      <c r="H106" s="2">
        <v>44926</v>
      </c>
      <c r="I106" s="1" t="s">
        <v>25</v>
      </c>
    </row>
    <row r="107" spans="1:9" x14ac:dyDescent="0.3">
      <c r="A107" s="1" t="s">
        <v>81</v>
      </c>
      <c r="B107" s="1" t="s">
        <v>16</v>
      </c>
      <c r="C107" s="1">
        <v>46</v>
      </c>
      <c r="D107" s="1" t="s">
        <v>28</v>
      </c>
      <c r="E107" s="1">
        <v>5</v>
      </c>
      <c r="F107" s="1">
        <v>75.75</v>
      </c>
      <c r="G107" s="1" t="s">
        <v>12</v>
      </c>
      <c r="H107" s="2">
        <v>44904</v>
      </c>
      <c r="I107" s="1" t="s">
        <v>52</v>
      </c>
    </row>
    <row r="108" spans="1:9" x14ac:dyDescent="0.3">
      <c r="A108" s="1" t="s">
        <v>224</v>
      </c>
      <c r="B108" s="1" t="s">
        <v>16</v>
      </c>
      <c r="C108" s="1">
        <v>26</v>
      </c>
      <c r="D108" s="1" t="s">
        <v>32</v>
      </c>
      <c r="E108" s="1">
        <v>5</v>
      </c>
      <c r="F108" s="1">
        <v>203.3</v>
      </c>
      <c r="G108" s="1" t="s">
        <v>12</v>
      </c>
      <c r="H108" s="2">
        <v>44892</v>
      </c>
      <c r="I108" s="1" t="s">
        <v>19</v>
      </c>
    </row>
    <row r="109" spans="1:9" x14ac:dyDescent="0.3">
      <c r="A109" s="1" t="s">
        <v>41</v>
      </c>
      <c r="B109" s="1" t="s">
        <v>10</v>
      </c>
      <c r="C109" s="1">
        <v>29</v>
      </c>
      <c r="D109" s="1" t="s">
        <v>28</v>
      </c>
      <c r="E109" s="1">
        <v>1</v>
      </c>
      <c r="F109" s="1">
        <v>15.15</v>
      </c>
      <c r="G109" s="1" t="s">
        <v>12</v>
      </c>
      <c r="H109" s="2">
        <v>44862</v>
      </c>
      <c r="I109" s="1" t="s">
        <v>42</v>
      </c>
    </row>
    <row r="110" spans="1:9" x14ac:dyDescent="0.3">
      <c r="A110" s="1" t="s">
        <v>184</v>
      </c>
      <c r="B110" s="1" t="s">
        <v>16</v>
      </c>
      <c r="C110" s="1">
        <v>44</v>
      </c>
      <c r="D110" s="1" t="s">
        <v>11</v>
      </c>
      <c r="E110" s="1">
        <v>4</v>
      </c>
      <c r="F110" s="1">
        <v>1200.32</v>
      </c>
      <c r="G110" s="1" t="s">
        <v>12</v>
      </c>
      <c r="H110" s="2">
        <v>44846</v>
      </c>
      <c r="I110" s="1" t="s">
        <v>25</v>
      </c>
    </row>
    <row r="111" spans="1:9" x14ac:dyDescent="0.3">
      <c r="A111" s="1" t="s">
        <v>181</v>
      </c>
      <c r="B111" s="1" t="s">
        <v>10</v>
      </c>
      <c r="C111" s="1">
        <v>61</v>
      </c>
      <c r="D111" s="1" t="s">
        <v>40</v>
      </c>
      <c r="E111" s="1">
        <v>3</v>
      </c>
      <c r="F111" s="1">
        <v>15.69</v>
      </c>
      <c r="G111" s="1" t="s">
        <v>12</v>
      </c>
      <c r="H111" s="2">
        <v>44839</v>
      </c>
      <c r="I111" s="1" t="s">
        <v>36</v>
      </c>
    </row>
    <row r="112" spans="1:9" x14ac:dyDescent="0.3">
      <c r="A112" s="1" t="s">
        <v>185</v>
      </c>
      <c r="B112" s="1" t="s">
        <v>10</v>
      </c>
      <c r="C112" s="1">
        <v>48</v>
      </c>
      <c r="D112" s="1" t="s">
        <v>40</v>
      </c>
      <c r="E112" s="1">
        <v>2</v>
      </c>
      <c r="F112" s="1">
        <v>10.46</v>
      </c>
      <c r="G112" s="1" t="s">
        <v>12</v>
      </c>
      <c r="H112" s="2">
        <v>44832</v>
      </c>
      <c r="I112" s="1" t="s">
        <v>13</v>
      </c>
    </row>
    <row r="113" spans="1:9" x14ac:dyDescent="0.3">
      <c r="A113" s="1" t="s">
        <v>156</v>
      </c>
      <c r="B113" s="1" t="s">
        <v>10</v>
      </c>
      <c r="C113" s="1">
        <v>56</v>
      </c>
      <c r="D113" s="1" t="s">
        <v>11</v>
      </c>
      <c r="E113" s="1">
        <v>2</v>
      </c>
      <c r="F113" s="1">
        <v>600.16</v>
      </c>
      <c r="G113" s="1" t="s">
        <v>12</v>
      </c>
      <c r="H113" s="2">
        <v>44825</v>
      </c>
      <c r="I113" s="1" t="s">
        <v>33</v>
      </c>
    </row>
    <row r="114" spans="1:9" x14ac:dyDescent="0.3">
      <c r="A114" s="1" t="s">
        <v>179</v>
      </c>
      <c r="B114" s="1" t="s">
        <v>10</v>
      </c>
      <c r="C114" s="1">
        <v>21</v>
      </c>
      <c r="D114" s="1" t="s">
        <v>11</v>
      </c>
      <c r="E114" s="1">
        <v>1</v>
      </c>
      <c r="F114" s="1">
        <v>300.08</v>
      </c>
      <c r="G114" s="1" t="s">
        <v>12</v>
      </c>
      <c r="H114" s="2">
        <v>44823</v>
      </c>
      <c r="I114" s="1" t="s">
        <v>23</v>
      </c>
    </row>
    <row r="115" spans="1:9" x14ac:dyDescent="0.3">
      <c r="A115" s="1" t="s">
        <v>120</v>
      </c>
      <c r="B115" s="1" t="s">
        <v>10</v>
      </c>
      <c r="C115" s="1">
        <v>66</v>
      </c>
      <c r="D115" s="1" t="s">
        <v>11</v>
      </c>
      <c r="E115" s="1">
        <v>2</v>
      </c>
      <c r="F115" s="1">
        <v>600.16</v>
      </c>
      <c r="G115" s="1" t="s">
        <v>12</v>
      </c>
      <c r="H115" s="2">
        <v>44812</v>
      </c>
      <c r="I115" s="1" t="s">
        <v>33</v>
      </c>
    </row>
    <row r="116" spans="1:9" x14ac:dyDescent="0.3">
      <c r="A116" s="1" t="s">
        <v>70</v>
      </c>
      <c r="B116" s="1" t="s">
        <v>10</v>
      </c>
      <c r="C116" s="1">
        <v>66</v>
      </c>
      <c r="D116" s="1" t="s">
        <v>17</v>
      </c>
      <c r="E116" s="1">
        <v>4</v>
      </c>
      <c r="F116" s="1">
        <v>2400.6799999999998</v>
      </c>
      <c r="G116" s="1" t="s">
        <v>12</v>
      </c>
      <c r="H116" s="2">
        <v>44803</v>
      </c>
      <c r="I116" s="1" t="s">
        <v>52</v>
      </c>
    </row>
    <row r="117" spans="1:9" x14ac:dyDescent="0.3">
      <c r="A117" s="1" t="s">
        <v>202</v>
      </c>
      <c r="B117" s="1" t="s">
        <v>16</v>
      </c>
      <c r="C117" s="1">
        <v>22</v>
      </c>
      <c r="D117" s="1" t="s">
        <v>40</v>
      </c>
      <c r="E117" s="1">
        <v>1</v>
      </c>
      <c r="F117" s="1">
        <v>5.23</v>
      </c>
      <c r="G117" s="1" t="s">
        <v>12</v>
      </c>
      <c r="H117" s="2">
        <v>44798</v>
      </c>
      <c r="I117" s="1" t="s">
        <v>13</v>
      </c>
    </row>
    <row r="118" spans="1:9" x14ac:dyDescent="0.3">
      <c r="A118" s="1" t="s">
        <v>9</v>
      </c>
      <c r="B118" s="1" t="s">
        <v>10</v>
      </c>
      <c r="C118" s="1">
        <v>28</v>
      </c>
      <c r="D118" s="1" t="s">
        <v>11</v>
      </c>
      <c r="E118" s="1">
        <v>5</v>
      </c>
      <c r="F118" s="1">
        <v>1500.4</v>
      </c>
      <c r="G118" s="1" t="s">
        <v>12</v>
      </c>
      <c r="H118" s="2">
        <v>44778</v>
      </c>
      <c r="I118" s="1" t="s">
        <v>13</v>
      </c>
    </row>
    <row r="119" spans="1:9" x14ac:dyDescent="0.3">
      <c r="A119" s="1" t="s">
        <v>213</v>
      </c>
      <c r="B119" s="1" t="s">
        <v>10</v>
      </c>
      <c r="C119" s="1">
        <v>23</v>
      </c>
      <c r="D119" s="1" t="s">
        <v>11</v>
      </c>
      <c r="E119" s="1">
        <v>5</v>
      </c>
      <c r="F119" s="1">
        <v>1500.4</v>
      </c>
      <c r="G119" s="1" t="s">
        <v>12</v>
      </c>
      <c r="H119" s="2">
        <v>44776</v>
      </c>
      <c r="I119" s="1" t="s">
        <v>49</v>
      </c>
    </row>
    <row r="120" spans="1:9" x14ac:dyDescent="0.3">
      <c r="A120" s="1" t="s">
        <v>220</v>
      </c>
      <c r="B120" s="1" t="s">
        <v>10</v>
      </c>
      <c r="C120" s="1">
        <v>41</v>
      </c>
      <c r="D120" s="1" t="s">
        <v>32</v>
      </c>
      <c r="E120" s="1">
        <v>4</v>
      </c>
      <c r="F120" s="1">
        <v>162.63999999999999</v>
      </c>
      <c r="G120" s="1" t="s">
        <v>12</v>
      </c>
      <c r="H120" s="2">
        <v>44757</v>
      </c>
      <c r="I120" s="1" t="s">
        <v>49</v>
      </c>
    </row>
    <row r="121" spans="1:9" x14ac:dyDescent="0.3">
      <c r="A121" s="1" t="s">
        <v>73</v>
      </c>
      <c r="B121" s="1" t="s">
        <v>10</v>
      </c>
      <c r="C121" s="1">
        <v>59</v>
      </c>
      <c r="D121" s="1" t="s">
        <v>11</v>
      </c>
      <c r="E121" s="1">
        <v>2</v>
      </c>
      <c r="F121" s="1">
        <v>600.16</v>
      </c>
      <c r="G121" s="1" t="s">
        <v>12</v>
      </c>
      <c r="H121" s="2">
        <v>44750</v>
      </c>
      <c r="I121" s="1" t="s">
        <v>23</v>
      </c>
    </row>
    <row r="122" spans="1:9" x14ac:dyDescent="0.3">
      <c r="A122" s="1" t="s">
        <v>194</v>
      </c>
      <c r="B122" s="1" t="s">
        <v>10</v>
      </c>
      <c r="C122" s="1">
        <v>41</v>
      </c>
      <c r="D122" s="1" t="s">
        <v>104</v>
      </c>
      <c r="E122" s="1">
        <v>5</v>
      </c>
      <c r="F122" s="1">
        <v>58.65</v>
      </c>
      <c r="G122" s="1" t="s">
        <v>12</v>
      </c>
      <c r="H122" s="2">
        <v>44735</v>
      </c>
      <c r="I122" s="1" t="s">
        <v>25</v>
      </c>
    </row>
    <row r="123" spans="1:9" x14ac:dyDescent="0.3">
      <c r="A123" s="1" t="s">
        <v>72</v>
      </c>
      <c r="B123" s="1" t="s">
        <v>16</v>
      </c>
      <c r="C123" s="1">
        <v>43</v>
      </c>
      <c r="D123" s="1" t="s">
        <v>11</v>
      </c>
      <c r="E123" s="1">
        <v>5</v>
      </c>
      <c r="F123" s="1">
        <v>1500.4</v>
      </c>
      <c r="G123" s="1" t="s">
        <v>12</v>
      </c>
      <c r="H123" s="2">
        <v>44733</v>
      </c>
      <c r="I123" s="1" t="s">
        <v>13</v>
      </c>
    </row>
    <row r="124" spans="1:9" x14ac:dyDescent="0.3">
      <c r="A124" s="1" t="s">
        <v>57</v>
      </c>
      <c r="B124" s="1" t="s">
        <v>16</v>
      </c>
      <c r="C124" s="1">
        <v>52</v>
      </c>
      <c r="D124" s="1" t="s">
        <v>11</v>
      </c>
      <c r="E124" s="1">
        <v>2</v>
      </c>
      <c r="F124" s="1">
        <v>600.16</v>
      </c>
      <c r="G124" s="1" t="s">
        <v>12</v>
      </c>
      <c r="H124" s="2">
        <v>44730</v>
      </c>
      <c r="I124" s="1" t="s">
        <v>46</v>
      </c>
    </row>
    <row r="125" spans="1:9" x14ac:dyDescent="0.3">
      <c r="A125" s="1" t="s">
        <v>96</v>
      </c>
      <c r="B125" s="1" t="s">
        <v>16</v>
      </c>
      <c r="C125" s="1">
        <v>64</v>
      </c>
      <c r="D125" s="1" t="s">
        <v>11</v>
      </c>
      <c r="E125" s="1">
        <v>5</v>
      </c>
      <c r="F125" s="1">
        <v>1500.4</v>
      </c>
      <c r="G125" s="1" t="s">
        <v>12</v>
      </c>
      <c r="H125" s="2">
        <v>44721</v>
      </c>
      <c r="I125" s="1" t="s">
        <v>36</v>
      </c>
    </row>
    <row r="126" spans="1:9" x14ac:dyDescent="0.3">
      <c r="A126" s="1" t="s">
        <v>229</v>
      </c>
      <c r="B126" s="1" t="s">
        <v>10</v>
      </c>
      <c r="C126" s="1">
        <v>54</v>
      </c>
      <c r="D126" s="1" t="s">
        <v>32</v>
      </c>
      <c r="E126" s="1">
        <v>3</v>
      </c>
      <c r="F126" s="1">
        <v>121.98</v>
      </c>
      <c r="G126" s="1" t="s">
        <v>12</v>
      </c>
      <c r="H126" s="2">
        <v>44720</v>
      </c>
      <c r="I126" s="1" t="s">
        <v>19</v>
      </c>
    </row>
    <row r="127" spans="1:9" x14ac:dyDescent="0.3">
      <c r="A127" s="1" t="s">
        <v>47</v>
      </c>
      <c r="B127" s="1" t="s">
        <v>10</v>
      </c>
      <c r="C127" s="1">
        <v>67</v>
      </c>
      <c r="D127" s="1" t="s">
        <v>11</v>
      </c>
      <c r="E127" s="1">
        <v>2</v>
      </c>
      <c r="F127" s="1">
        <v>600.16</v>
      </c>
      <c r="G127" s="1" t="s">
        <v>12</v>
      </c>
      <c r="H127" s="2">
        <v>44715</v>
      </c>
      <c r="I127" s="1" t="s">
        <v>13</v>
      </c>
    </row>
    <row r="128" spans="1:9" x14ac:dyDescent="0.3">
      <c r="A128" s="1" t="s">
        <v>204</v>
      </c>
      <c r="B128" s="1" t="s">
        <v>10</v>
      </c>
      <c r="C128" s="1">
        <v>25</v>
      </c>
      <c r="D128" s="1" t="s">
        <v>40</v>
      </c>
      <c r="E128" s="1">
        <v>2</v>
      </c>
      <c r="F128" s="1">
        <v>10.46</v>
      </c>
      <c r="G128" s="1" t="s">
        <v>12</v>
      </c>
      <c r="H128" s="2">
        <v>44709</v>
      </c>
      <c r="I128" s="1" t="s">
        <v>23</v>
      </c>
    </row>
    <row r="129" spans="1:9" x14ac:dyDescent="0.3">
      <c r="A129" s="1" t="s">
        <v>137</v>
      </c>
      <c r="B129" s="1" t="s">
        <v>16</v>
      </c>
      <c r="C129" s="1">
        <v>43</v>
      </c>
      <c r="D129" s="1" t="s">
        <v>59</v>
      </c>
      <c r="E129" s="1">
        <v>3</v>
      </c>
      <c r="F129" s="1">
        <v>3150</v>
      </c>
      <c r="G129" s="1" t="s">
        <v>12</v>
      </c>
      <c r="H129" s="2">
        <v>44706</v>
      </c>
      <c r="I129" s="1" t="s">
        <v>49</v>
      </c>
    </row>
    <row r="130" spans="1:9" x14ac:dyDescent="0.3">
      <c r="A130" s="1" t="s">
        <v>30</v>
      </c>
      <c r="B130" s="1" t="s">
        <v>10</v>
      </c>
      <c r="C130" s="1">
        <v>28</v>
      </c>
      <c r="D130" s="1" t="s">
        <v>11</v>
      </c>
      <c r="E130" s="1">
        <v>5</v>
      </c>
      <c r="F130" s="1">
        <v>1500.4</v>
      </c>
      <c r="G130" s="1" t="s">
        <v>12</v>
      </c>
      <c r="H130" s="2">
        <v>44705</v>
      </c>
      <c r="I130" s="1" t="s">
        <v>19</v>
      </c>
    </row>
    <row r="131" spans="1:9" x14ac:dyDescent="0.3">
      <c r="A131" s="1" t="s">
        <v>189</v>
      </c>
      <c r="B131" s="1" t="s">
        <v>10</v>
      </c>
      <c r="C131" s="1">
        <v>43</v>
      </c>
      <c r="D131" s="1" t="s">
        <v>44</v>
      </c>
      <c r="E131" s="1">
        <v>4</v>
      </c>
      <c r="F131" s="1">
        <v>143.36000000000001</v>
      </c>
      <c r="G131" s="1" t="s">
        <v>12</v>
      </c>
      <c r="H131" s="2">
        <v>44698</v>
      </c>
      <c r="I131" s="1" t="s">
        <v>46</v>
      </c>
    </row>
    <row r="132" spans="1:9" x14ac:dyDescent="0.3">
      <c r="A132" s="1" t="s">
        <v>80</v>
      </c>
      <c r="B132" s="1" t="s">
        <v>10</v>
      </c>
      <c r="C132" s="1">
        <v>41</v>
      </c>
      <c r="D132" s="1" t="s">
        <v>17</v>
      </c>
      <c r="E132" s="1">
        <v>3</v>
      </c>
      <c r="F132" s="1">
        <v>1800.51</v>
      </c>
      <c r="G132" s="1" t="s">
        <v>12</v>
      </c>
      <c r="H132" s="2">
        <v>44672</v>
      </c>
      <c r="I132" s="1" t="s">
        <v>13</v>
      </c>
    </row>
    <row r="133" spans="1:9" x14ac:dyDescent="0.3">
      <c r="A133" s="1" t="s">
        <v>62</v>
      </c>
      <c r="B133" s="1" t="s">
        <v>10</v>
      </c>
      <c r="C133" s="1">
        <v>25</v>
      </c>
      <c r="D133" s="1" t="s">
        <v>32</v>
      </c>
      <c r="E133" s="1">
        <v>5</v>
      </c>
      <c r="F133" s="1">
        <v>203.3</v>
      </c>
      <c r="G133" s="1" t="s">
        <v>12</v>
      </c>
      <c r="H133" s="2">
        <v>44671</v>
      </c>
      <c r="I133" s="1" t="s">
        <v>36</v>
      </c>
    </row>
    <row r="134" spans="1:9" x14ac:dyDescent="0.3">
      <c r="A134" s="1" t="s">
        <v>174</v>
      </c>
      <c r="B134" s="1" t="s">
        <v>16</v>
      </c>
      <c r="C134" s="1">
        <v>24</v>
      </c>
      <c r="D134" s="1" t="s">
        <v>28</v>
      </c>
      <c r="E134" s="1">
        <v>3</v>
      </c>
      <c r="F134" s="1">
        <v>45.45</v>
      </c>
      <c r="G134" s="1" t="s">
        <v>12</v>
      </c>
      <c r="H134" s="2">
        <v>44663</v>
      </c>
      <c r="I134" s="1" t="s">
        <v>23</v>
      </c>
    </row>
    <row r="135" spans="1:9" x14ac:dyDescent="0.3">
      <c r="A135" s="1" t="s">
        <v>190</v>
      </c>
      <c r="B135" s="1" t="s">
        <v>16</v>
      </c>
      <c r="C135" s="1">
        <v>54</v>
      </c>
      <c r="D135" s="1" t="s">
        <v>104</v>
      </c>
      <c r="E135" s="1">
        <v>5</v>
      </c>
      <c r="F135" s="1">
        <v>58.65</v>
      </c>
      <c r="G135" s="1" t="s">
        <v>12</v>
      </c>
      <c r="H135" s="2">
        <v>44662</v>
      </c>
      <c r="I135" s="1" t="s">
        <v>13</v>
      </c>
    </row>
    <row r="136" spans="1:9" x14ac:dyDescent="0.3">
      <c r="A136" s="1" t="s">
        <v>193</v>
      </c>
      <c r="B136" s="1" t="s">
        <v>10</v>
      </c>
      <c r="C136" s="1">
        <v>32</v>
      </c>
      <c r="D136" s="1" t="s">
        <v>11</v>
      </c>
      <c r="E136" s="1">
        <v>1</v>
      </c>
      <c r="F136" s="1">
        <v>300.08</v>
      </c>
      <c r="G136" s="1" t="s">
        <v>12</v>
      </c>
      <c r="H136" s="2">
        <v>44637</v>
      </c>
      <c r="I136" s="1" t="s">
        <v>25</v>
      </c>
    </row>
    <row r="137" spans="1:9" x14ac:dyDescent="0.3">
      <c r="A137" s="1" t="s">
        <v>205</v>
      </c>
      <c r="B137" s="1" t="s">
        <v>10</v>
      </c>
      <c r="C137" s="1">
        <v>66</v>
      </c>
      <c r="D137" s="1" t="s">
        <v>104</v>
      </c>
      <c r="E137" s="1">
        <v>5</v>
      </c>
      <c r="F137" s="1">
        <v>58.65</v>
      </c>
      <c r="G137" s="1" t="s">
        <v>12</v>
      </c>
      <c r="H137" s="2">
        <v>44625</v>
      </c>
      <c r="I137" s="1" t="s">
        <v>52</v>
      </c>
    </row>
    <row r="138" spans="1:9" x14ac:dyDescent="0.3">
      <c r="A138" s="1" t="s">
        <v>68</v>
      </c>
      <c r="B138" s="1" t="s">
        <v>10</v>
      </c>
      <c r="C138" s="1">
        <v>32</v>
      </c>
      <c r="D138" s="1" t="s">
        <v>17</v>
      </c>
      <c r="E138" s="1">
        <v>3</v>
      </c>
      <c r="F138" s="1">
        <v>1800.51</v>
      </c>
      <c r="G138" s="1" t="s">
        <v>12</v>
      </c>
      <c r="H138" s="2">
        <v>44615</v>
      </c>
      <c r="I138" s="1" t="s">
        <v>13</v>
      </c>
    </row>
    <row r="139" spans="1:9" x14ac:dyDescent="0.3">
      <c r="A139" s="1" t="s">
        <v>77</v>
      </c>
      <c r="B139" s="1" t="s">
        <v>16</v>
      </c>
      <c r="C139" s="1">
        <v>67</v>
      </c>
      <c r="D139" s="1" t="s">
        <v>32</v>
      </c>
      <c r="E139" s="1">
        <v>2</v>
      </c>
      <c r="F139" s="1">
        <v>81.319999999999993</v>
      </c>
      <c r="G139" s="1" t="s">
        <v>12</v>
      </c>
      <c r="H139" s="2">
        <v>44606</v>
      </c>
      <c r="I139" s="1" t="s">
        <v>25</v>
      </c>
    </row>
    <row r="140" spans="1:9" x14ac:dyDescent="0.3">
      <c r="A140" s="1" t="s">
        <v>143</v>
      </c>
      <c r="B140" s="1" t="s">
        <v>16</v>
      </c>
      <c r="C140" s="1">
        <v>34</v>
      </c>
      <c r="D140" s="1" t="s">
        <v>11</v>
      </c>
      <c r="E140" s="1">
        <v>5</v>
      </c>
      <c r="F140" s="1">
        <v>1500.4</v>
      </c>
      <c r="G140" s="1" t="s">
        <v>12</v>
      </c>
      <c r="H140" s="2">
        <v>44593</v>
      </c>
      <c r="I140" s="1" t="s">
        <v>36</v>
      </c>
    </row>
    <row r="141" spans="1:9" x14ac:dyDescent="0.3">
      <c r="A141" s="1" t="s">
        <v>142</v>
      </c>
      <c r="B141" s="1" t="s">
        <v>10</v>
      </c>
      <c r="C141" s="1">
        <v>30</v>
      </c>
      <c r="D141" s="1" t="s">
        <v>40</v>
      </c>
      <c r="E141" s="1">
        <v>5</v>
      </c>
      <c r="F141" s="1">
        <v>26.15</v>
      </c>
      <c r="G141" s="1" t="s">
        <v>12</v>
      </c>
      <c r="H141" s="2">
        <v>44567</v>
      </c>
      <c r="I141" s="1" t="s">
        <v>23</v>
      </c>
    </row>
    <row r="142" spans="1:9" x14ac:dyDescent="0.3">
      <c r="A142" s="1" t="s">
        <v>51</v>
      </c>
      <c r="B142" s="1" t="s">
        <v>10</v>
      </c>
      <c r="C142" s="1">
        <v>42</v>
      </c>
      <c r="D142" s="1" t="s">
        <v>40</v>
      </c>
      <c r="E142" s="1">
        <v>3</v>
      </c>
      <c r="F142" s="1">
        <v>15.69</v>
      </c>
      <c r="G142" s="1" t="s">
        <v>12</v>
      </c>
      <c r="H142" s="2">
        <v>44566</v>
      </c>
      <c r="I142" s="1" t="s">
        <v>52</v>
      </c>
    </row>
    <row r="143" spans="1:9" x14ac:dyDescent="0.3">
      <c r="A143" s="1" t="s">
        <v>158</v>
      </c>
      <c r="B143" s="1" t="s">
        <v>10</v>
      </c>
      <c r="C143" s="1">
        <v>68</v>
      </c>
      <c r="D143" s="1" t="s">
        <v>11</v>
      </c>
      <c r="E143" s="1">
        <v>1</v>
      </c>
      <c r="F143" s="1">
        <v>300.08</v>
      </c>
      <c r="G143" s="1" t="s">
        <v>12</v>
      </c>
      <c r="H143" s="2">
        <v>44553</v>
      </c>
      <c r="I143" s="1" t="s">
        <v>25</v>
      </c>
    </row>
    <row r="144" spans="1:9" x14ac:dyDescent="0.3">
      <c r="A144" s="1" t="s">
        <v>146</v>
      </c>
      <c r="B144" s="1" t="s">
        <v>16</v>
      </c>
      <c r="C144" s="1">
        <v>18</v>
      </c>
      <c r="D144" s="1" t="s">
        <v>32</v>
      </c>
      <c r="E144" s="1">
        <v>4</v>
      </c>
      <c r="F144" s="1">
        <v>162.63999999999999</v>
      </c>
      <c r="G144" s="1" t="s">
        <v>12</v>
      </c>
      <c r="H144" s="2">
        <v>44542</v>
      </c>
      <c r="I144" s="1" t="s">
        <v>33</v>
      </c>
    </row>
    <row r="145" spans="1:9" x14ac:dyDescent="0.3">
      <c r="A145" s="1" t="s">
        <v>67</v>
      </c>
      <c r="B145" s="1" t="s">
        <v>16</v>
      </c>
      <c r="C145" s="1">
        <v>23</v>
      </c>
      <c r="D145" s="1" t="s">
        <v>11</v>
      </c>
      <c r="E145" s="1">
        <v>1</v>
      </c>
      <c r="F145" s="1">
        <v>300.08</v>
      </c>
      <c r="G145" s="1" t="s">
        <v>12</v>
      </c>
      <c r="H145" s="2">
        <v>44521</v>
      </c>
      <c r="I145" s="1" t="s">
        <v>42</v>
      </c>
    </row>
    <row r="146" spans="1:9" x14ac:dyDescent="0.3">
      <c r="A146" s="1" t="s">
        <v>106</v>
      </c>
      <c r="B146" s="1" t="s">
        <v>10</v>
      </c>
      <c r="C146" s="1">
        <v>44</v>
      </c>
      <c r="D146" s="1" t="s">
        <v>59</v>
      </c>
      <c r="E146" s="1">
        <v>5</v>
      </c>
      <c r="F146" s="1">
        <v>5250</v>
      </c>
      <c r="G146" s="1" t="s">
        <v>12</v>
      </c>
      <c r="H146" s="2">
        <v>44519</v>
      </c>
      <c r="I146" s="1" t="s">
        <v>36</v>
      </c>
    </row>
    <row r="147" spans="1:9" x14ac:dyDescent="0.3">
      <c r="A147" s="1" t="s">
        <v>155</v>
      </c>
      <c r="B147" s="1" t="s">
        <v>16</v>
      </c>
      <c r="C147" s="1">
        <v>27</v>
      </c>
      <c r="D147" s="1" t="s">
        <v>11</v>
      </c>
      <c r="E147" s="1">
        <v>4</v>
      </c>
      <c r="F147" s="1">
        <v>1200.32</v>
      </c>
      <c r="G147" s="1" t="s">
        <v>12</v>
      </c>
      <c r="H147" s="2">
        <v>44511</v>
      </c>
      <c r="I147" s="1" t="s">
        <v>13</v>
      </c>
    </row>
    <row r="148" spans="1:9" x14ac:dyDescent="0.3">
      <c r="A148" s="1" t="s">
        <v>48</v>
      </c>
      <c r="B148" s="1" t="s">
        <v>16</v>
      </c>
      <c r="C148" s="1">
        <v>24</v>
      </c>
      <c r="D148" s="1" t="s">
        <v>17</v>
      </c>
      <c r="E148" s="1">
        <v>5</v>
      </c>
      <c r="F148" s="1">
        <v>3000.85</v>
      </c>
      <c r="G148" s="1" t="s">
        <v>12</v>
      </c>
      <c r="H148" s="2">
        <v>44507</v>
      </c>
      <c r="I148" s="1" t="s">
        <v>49</v>
      </c>
    </row>
    <row r="149" spans="1:9" x14ac:dyDescent="0.3">
      <c r="A149" s="1" t="s">
        <v>37</v>
      </c>
      <c r="B149" s="1" t="s">
        <v>16</v>
      </c>
      <c r="C149" s="1">
        <v>69</v>
      </c>
      <c r="D149" s="1" t="s">
        <v>11</v>
      </c>
      <c r="E149" s="1">
        <v>3</v>
      </c>
      <c r="F149" s="1">
        <v>900.24</v>
      </c>
      <c r="G149" s="1" t="s">
        <v>12</v>
      </c>
      <c r="H149" s="2">
        <v>44504</v>
      </c>
      <c r="I149" s="1" t="s">
        <v>23</v>
      </c>
    </row>
    <row r="150" spans="1:9" x14ac:dyDescent="0.3">
      <c r="A150" s="1" t="s">
        <v>191</v>
      </c>
      <c r="B150" s="1" t="s">
        <v>16</v>
      </c>
      <c r="C150" s="1">
        <v>41</v>
      </c>
      <c r="D150" s="1" t="s">
        <v>40</v>
      </c>
      <c r="E150" s="1">
        <v>5</v>
      </c>
      <c r="F150" s="1">
        <v>26.15</v>
      </c>
      <c r="G150" s="1" t="s">
        <v>12</v>
      </c>
      <c r="H150" s="2">
        <v>44491</v>
      </c>
      <c r="I150" s="1" t="s">
        <v>13</v>
      </c>
    </row>
    <row r="151" spans="1:9" x14ac:dyDescent="0.3">
      <c r="A151" s="1" t="s">
        <v>140</v>
      </c>
      <c r="B151" s="1" t="s">
        <v>10</v>
      </c>
      <c r="C151" s="1">
        <v>24</v>
      </c>
      <c r="D151" s="1" t="s">
        <v>11</v>
      </c>
      <c r="E151" s="1">
        <v>5</v>
      </c>
      <c r="F151" s="1">
        <v>1500.4</v>
      </c>
      <c r="G151" s="1" t="s">
        <v>12</v>
      </c>
      <c r="H151" s="2">
        <v>44453</v>
      </c>
      <c r="I151" s="1" t="s">
        <v>49</v>
      </c>
    </row>
    <row r="152" spans="1:9" x14ac:dyDescent="0.3">
      <c r="A152" s="1" t="s">
        <v>234</v>
      </c>
      <c r="B152" s="1" t="s">
        <v>16</v>
      </c>
      <c r="C152" s="1">
        <v>47</v>
      </c>
      <c r="D152" s="1" t="s">
        <v>11</v>
      </c>
      <c r="E152" s="1">
        <v>3</v>
      </c>
      <c r="F152" s="1">
        <v>900.24</v>
      </c>
      <c r="G152" s="1" t="s">
        <v>12</v>
      </c>
      <c r="H152" s="2">
        <v>44449</v>
      </c>
      <c r="I152" s="1" t="s">
        <v>23</v>
      </c>
    </row>
    <row r="153" spans="1:9" x14ac:dyDescent="0.3">
      <c r="A153" s="1" t="s">
        <v>38</v>
      </c>
      <c r="B153" s="1" t="s">
        <v>10</v>
      </c>
      <c r="C153" s="1">
        <v>60</v>
      </c>
      <c r="D153" s="1" t="s">
        <v>11</v>
      </c>
      <c r="E153" s="1">
        <v>2</v>
      </c>
      <c r="F153" s="1">
        <v>600.16</v>
      </c>
      <c r="G153" s="1" t="s">
        <v>12</v>
      </c>
      <c r="H153" s="2">
        <v>44430</v>
      </c>
      <c r="I153" s="1" t="s">
        <v>13</v>
      </c>
    </row>
    <row r="154" spans="1:9" x14ac:dyDescent="0.3">
      <c r="A154" s="1" t="s">
        <v>198</v>
      </c>
      <c r="B154" s="1" t="s">
        <v>10</v>
      </c>
      <c r="C154" s="1">
        <v>23</v>
      </c>
      <c r="D154" s="1" t="s">
        <v>40</v>
      </c>
      <c r="E154" s="1">
        <v>2</v>
      </c>
      <c r="F154" s="1">
        <v>10.46</v>
      </c>
      <c r="G154" s="1" t="s">
        <v>12</v>
      </c>
      <c r="H154" s="2">
        <v>44408</v>
      </c>
      <c r="I154" s="1" t="s">
        <v>49</v>
      </c>
    </row>
    <row r="155" spans="1:9" x14ac:dyDescent="0.3">
      <c r="A155" s="1" t="s">
        <v>116</v>
      </c>
      <c r="B155" s="1" t="s">
        <v>10</v>
      </c>
      <c r="C155" s="1">
        <v>53</v>
      </c>
      <c r="D155" s="1" t="s">
        <v>40</v>
      </c>
      <c r="E155" s="1">
        <v>4</v>
      </c>
      <c r="F155" s="1">
        <v>20.92</v>
      </c>
      <c r="G155" s="1" t="s">
        <v>12</v>
      </c>
      <c r="H155" s="2">
        <v>44391</v>
      </c>
      <c r="I155" s="1" t="s">
        <v>33</v>
      </c>
    </row>
    <row r="156" spans="1:9" x14ac:dyDescent="0.3">
      <c r="A156" s="1" t="s">
        <v>112</v>
      </c>
      <c r="B156" s="1" t="s">
        <v>16</v>
      </c>
      <c r="C156" s="1">
        <v>41</v>
      </c>
      <c r="D156" s="1" t="s">
        <v>104</v>
      </c>
      <c r="E156" s="1">
        <v>3</v>
      </c>
      <c r="F156" s="1">
        <v>35.19</v>
      </c>
      <c r="G156" s="1" t="s">
        <v>12</v>
      </c>
      <c r="H156" s="2">
        <v>44355</v>
      </c>
      <c r="I156" s="1" t="s">
        <v>46</v>
      </c>
    </row>
    <row r="157" spans="1:9" x14ac:dyDescent="0.3">
      <c r="A157" s="1" t="s">
        <v>173</v>
      </c>
      <c r="B157" s="1" t="s">
        <v>10</v>
      </c>
      <c r="C157" s="1">
        <v>40</v>
      </c>
      <c r="D157" s="1" t="s">
        <v>32</v>
      </c>
      <c r="E157" s="1">
        <v>1</v>
      </c>
      <c r="F157" s="1">
        <v>40.659999999999997</v>
      </c>
      <c r="G157" s="1" t="s">
        <v>12</v>
      </c>
      <c r="H157" s="2">
        <v>44341</v>
      </c>
      <c r="I157" s="1" t="s">
        <v>52</v>
      </c>
    </row>
    <row r="158" spans="1:9" x14ac:dyDescent="0.3">
      <c r="A158" s="1" t="s">
        <v>24</v>
      </c>
      <c r="B158" s="1" t="s">
        <v>10</v>
      </c>
      <c r="C158" s="1">
        <v>66</v>
      </c>
      <c r="D158" s="1" t="s">
        <v>17</v>
      </c>
      <c r="E158" s="1">
        <v>5</v>
      </c>
      <c r="F158" s="1">
        <v>3000.85</v>
      </c>
      <c r="G158" s="1" t="s">
        <v>12</v>
      </c>
      <c r="H158" s="2">
        <v>44332</v>
      </c>
      <c r="I158" s="1" t="s">
        <v>25</v>
      </c>
    </row>
    <row r="159" spans="1:9" x14ac:dyDescent="0.3">
      <c r="A159" s="1" t="s">
        <v>65</v>
      </c>
      <c r="B159" s="1" t="s">
        <v>16</v>
      </c>
      <c r="C159" s="1">
        <v>29</v>
      </c>
      <c r="D159" s="1" t="s">
        <v>32</v>
      </c>
      <c r="E159" s="1">
        <v>3</v>
      </c>
      <c r="F159" s="1">
        <v>121.98</v>
      </c>
      <c r="G159" s="1" t="s">
        <v>12</v>
      </c>
      <c r="H159" s="2">
        <v>44315</v>
      </c>
      <c r="I159" s="1" t="s">
        <v>33</v>
      </c>
    </row>
    <row r="160" spans="1:9" x14ac:dyDescent="0.3">
      <c r="A160" s="1" t="s">
        <v>93</v>
      </c>
      <c r="B160" s="1" t="s">
        <v>10</v>
      </c>
      <c r="C160" s="1">
        <v>19</v>
      </c>
      <c r="D160" s="1" t="s">
        <v>11</v>
      </c>
      <c r="E160" s="1">
        <v>4</v>
      </c>
      <c r="F160" s="1">
        <v>1200.32</v>
      </c>
      <c r="G160" s="1" t="s">
        <v>12</v>
      </c>
      <c r="H160" s="2">
        <v>44307</v>
      </c>
      <c r="I160" s="1" t="s">
        <v>13</v>
      </c>
    </row>
    <row r="161" spans="1:9" x14ac:dyDescent="0.3">
      <c r="A161" s="1" t="s">
        <v>176</v>
      </c>
      <c r="B161" s="1" t="s">
        <v>10</v>
      </c>
      <c r="C161" s="1">
        <v>32</v>
      </c>
      <c r="D161" s="1" t="s">
        <v>59</v>
      </c>
      <c r="E161" s="1">
        <v>2</v>
      </c>
      <c r="F161" s="1">
        <v>2100</v>
      </c>
      <c r="G161" s="1" t="s">
        <v>12</v>
      </c>
      <c r="H161" s="2">
        <v>44248</v>
      </c>
      <c r="I161" s="1" t="s">
        <v>25</v>
      </c>
    </row>
    <row r="162" spans="1:9" x14ac:dyDescent="0.3">
      <c r="A162" s="1" t="s">
        <v>216</v>
      </c>
      <c r="B162" s="1" t="s">
        <v>10</v>
      </c>
      <c r="C162" s="1">
        <v>38</v>
      </c>
      <c r="D162" s="1" t="s">
        <v>104</v>
      </c>
      <c r="E162" s="1">
        <v>2</v>
      </c>
      <c r="F162" s="1">
        <v>23.46</v>
      </c>
      <c r="G162" s="1" t="s">
        <v>12</v>
      </c>
      <c r="H162" s="2">
        <v>44239</v>
      </c>
      <c r="I162" s="1" t="s">
        <v>25</v>
      </c>
    </row>
    <row r="163" spans="1:9" x14ac:dyDescent="0.3">
      <c r="A163" s="1" t="s">
        <v>98</v>
      </c>
      <c r="B163" s="1" t="s">
        <v>10</v>
      </c>
      <c r="C163" s="1">
        <v>33</v>
      </c>
      <c r="D163" s="1" t="s">
        <v>11</v>
      </c>
      <c r="E163" s="1">
        <v>4</v>
      </c>
      <c r="F163" s="1">
        <v>1200.32</v>
      </c>
      <c r="G163" s="1" t="s">
        <v>12</v>
      </c>
      <c r="H163" s="2">
        <v>44232</v>
      </c>
      <c r="I163" s="1" t="s">
        <v>13</v>
      </c>
    </row>
    <row r="164" spans="1:9" x14ac:dyDescent="0.3">
      <c r="A164" s="1" t="s">
        <v>35</v>
      </c>
      <c r="B164" s="1" t="s">
        <v>10</v>
      </c>
      <c r="C164" s="1">
        <v>32</v>
      </c>
      <c r="D164" s="1" t="s">
        <v>11</v>
      </c>
      <c r="E164" s="1">
        <v>2</v>
      </c>
      <c r="F164" s="1">
        <v>600.16</v>
      </c>
      <c r="G164" s="1" t="s">
        <v>12</v>
      </c>
      <c r="H164" s="2">
        <v>44209</v>
      </c>
      <c r="I164" s="1" t="s">
        <v>36</v>
      </c>
    </row>
    <row r="165" spans="1:9" x14ac:dyDescent="0.3">
      <c r="A165" s="1" t="s">
        <v>208</v>
      </c>
      <c r="B165" s="1" t="s">
        <v>16</v>
      </c>
      <c r="C165" s="1">
        <v>34</v>
      </c>
      <c r="D165" s="1" t="s">
        <v>44</v>
      </c>
      <c r="E165" s="1">
        <v>2</v>
      </c>
      <c r="F165" s="1">
        <v>71.680000000000007</v>
      </c>
      <c r="G165" s="1" t="s">
        <v>18</v>
      </c>
      <c r="H165" s="2">
        <v>44983</v>
      </c>
      <c r="I165" s="1" t="s">
        <v>23</v>
      </c>
    </row>
    <row r="166" spans="1:9" x14ac:dyDescent="0.3">
      <c r="A166" s="1" t="s">
        <v>211</v>
      </c>
      <c r="B166" s="1" t="s">
        <v>10</v>
      </c>
      <c r="C166" s="1">
        <v>53</v>
      </c>
      <c r="D166" s="1" t="s">
        <v>44</v>
      </c>
      <c r="E166" s="1">
        <v>1</v>
      </c>
      <c r="F166" s="1">
        <v>35.840000000000003</v>
      </c>
      <c r="G166" s="1" t="s">
        <v>18</v>
      </c>
      <c r="H166" s="2">
        <v>44957</v>
      </c>
      <c r="I166" s="1" t="s">
        <v>36</v>
      </c>
    </row>
    <row r="167" spans="1:9" x14ac:dyDescent="0.3">
      <c r="A167" s="1" t="s">
        <v>126</v>
      </c>
      <c r="B167" s="1" t="s">
        <v>16</v>
      </c>
      <c r="C167" s="1">
        <v>65</v>
      </c>
      <c r="D167" s="1" t="s">
        <v>11</v>
      </c>
      <c r="E167" s="1">
        <v>4</v>
      </c>
      <c r="F167" s="1">
        <v>1200.32</v>
      </c>
      <c r="G167" s="1" t="s">
        <v>18</v>
      </c>
      <c r="H167" s="2">
        <v>44948</v>
      </c>
      <c r="I167" s="1" t="s">
        <v>25</v>
      </c>
    </row>
    <row r="168" spans="1:9" x14ac:dyDescent="0.3">
      <c r="A168" s="1" t="s">
        <v>138</v>
      </c>
      <c r="B168" s="1" t="s">
        <v>10</v>
      </c>
      <c r="C168" s="1">
        <v>40</v>
      </c>
      <c r="D168" s="1" t="s">
        <v>40</v>
      </c>
      <c r="E168" s="1">
        <v>3</v>
      </c>
      <c r="F168" s="1">
        <v>15.69</v>
      </c>
      <c r="G168" s="1" t="s">
        <v>18</v>
      </c>
      <c r="H168" s="2">
        <v>44918</v>
      </c>
      <c r="I168" s="1" t="s">
        <v>13</v>
      </c>
    </row>
    <row r="169" spans="1:9" x14ac:dyDescent="0.3">
      <c r="A169" s="1" t="s">
        <v>130</v>
      </c>
      <c r="B169" s="1" t="s">
        <v>10</v>
      </c>
      <c r="C169" s="1">
        <v>25</v>
      </c>
      <c r="D169" s="1" t="s">
        <v>32</v>
      </c>
      <c r="E169" s="1">
        <v>2</v>
      </c>
      <c r="F169" s="1">
        <v>81.319999999999993</v>
      </c>
      <c r="G169" s="1" t="s">
        <v>18</v>
      </c>
      <c r="H169" s="2">
        <v>44911</v>
      </c>
      <c r="I169" s="1" t="s">
        <v>23</v>
      </c>
    </row>
    <row r="170" spans="1:9" x14ac:dyDescent="0.3">
      <c r="A170" s="1" t="s">
        <v>83</v>
      </c>
      <c r="B170" s="1" t="s">
        <v>10</v>
      </c>
      <c r="C170" s="1">
        <v>43</v>
      </c>
      <c r="D170" s="1" t="s">
        <v>11</v>
      </c>
      <c r="E170" s="1">
        <v>4</v>
      </c>
      <c r="F170" s="1">
        <v>1200.32</v>
      </c>
      <c r="G170" s="1" t="s">
        <v>18</v>
      </c>
      <c r="H170" s="2">
        <v>44872</v>
      </c>
      <c r="I170" s="1" t="s">
        <v>52</v>
      </c>
    </row>
    <row r="171" spans="1:9" x14ac:dyDescent="0.3">
      <c r="A171" s="1" t="s">
        <v>196</v>
      </c>
      <c r="B171" s="1" t="s">
        <v>16</v>
      </c>
      <c r="C171" s="1">
        <v>22</v>
      </c>
      <c r="D171" s="1" t="s">
        <v>11</v>
      </c>
      <c r="E171" s="1">
        <v>1</v>
      </c>
      <c r="F171" s="1">
        <v>300.08</v>
      </c>
      <c r="G171" s="1" t="s">
        <v>18</v>
      </c>
      <c r="H171" s="2">
        <v>44803</v>
      </c>
      <c r="I171" s="1" t="s">
        <v>33</v>
      </c>
    </row>
    <row r="172" spans="1:9" x14ac:dyDescent="0.3">
      <c r="A172" s="1" t="s">
        <v>43</v>
      </c>
      <c r="B172" s="1" t="s">
        <v>10</v>
      </c>
      <c r="C172" s="1">
        <v>67</v>
      </c>
      <c r="D172" s="1" t="s">
        <v>44</v>
      </c>
      <c r="E172" s="1">
        <v>4</v>
      </c>
      <c r="F172" s="1">
        <v>143.36000000000001</v>
      </c>
      <c r="G172" s="1" t="s">
        <v>18</v>
      </c>
      <c r="H172" s="2">
        <v>44773</v>
      </c>
      <c r="I172" s="1" t="s">
        <v>23</v>
      </c>
    </row>
    <row r="173" spans="1:9" x14ac:dyDescent="0.3">
      <c r="A173" s="1" t="s">
        <v>66</v>
      </c>
      <c r="B173" s="1" t="s">
        <v>10</v>
      </c>
      <c r="C173" s="1">
        <v>66</v>
      </c>
      <c r="D173" s="1" t="s">
        <v>44</v>
      </c>
      <c r="E173" s="1">
        <v>3</v>
      </c>
      <c r="F173" s="1">
        <v>107.52</v>
      </c>
      <c r="G173" s="1" t="s">
        <v>18</v>
      </c>
      <c r="H173" s="2">
        <v>44746</v>
      </c>
      <c r="I173" s="1" t="s">
        <v>36</v>
      </c>
    </row>
    <row r="174" spans="1:9" x14ac:dyDescent="0.3">
      <c r="A174" s="1" t="s">
        <v>100</v>
      </c>
      <c r="B174" s="1" t="s">
        <v>10</v>
      </c>
      <c r="C174" s="1">
        <v>29</v>
      </c>
      <c r="D174" s="1" t="s">
        <v>32</v>
      </c>
      <c r="E174" s="1">
        <v>4</v>
      </c>
      <c r="F174" s="1">
        <v>162.63999999999999</v>
      </c>
      <c r="G174" s="1" t="s">
        <v>18</v>
      </c>
      <c r="H174" s="2">
        <v>44690</v>
      </c>
      <c r="I174" s="1" t="s">
        <v>25</v>
      </c>
    </row>
    <row r="175" spans="1:9" x14ac:dyDescent="0.3">
      <c r="A175" s="1" t="s">
        <v>161</v>
      </c>
      <c r="B175" s="1" t="s">
        <v>16</v>
      </c>
      <c r="C175" s="1">
        <v>64</v>
      </c>
      <c r="D175" s="1" t="s">
        <v>44</v>
      </c>
      <c r="E175" s="1">
        <v>5</v>
      </c>
      <c r="F175" s="1">
        <v>179.2</v>
      </c>
      <c r="G175" s="1" t="s">
        <v>18</v>
      </c>
      <c r="H175" s="2">
        <v>44613</v>
      </c>
      <c r="I175" s="1" t="s">
        <v>13</v>
      </c>
    </row>
    <row r="176" spans="1:9" x14ac:dyDescent="0.3">
      <c r="A176" s="1" t="s">
        <v>84</v>
      </c>
      <c r="B176" s="1" t="s">
        <v>16</v>
      </c>
      <c r="C176" s="1">
        <v>18</v>
      </c>
      <c r="D176" s="1" t="s">
        <v>32</v>
      </c>
      <c r="E176" s="1">
        <v>3</v>
      </c>
      <c r="F176" s="1">
        <v>121.98</v>
      </c>
      <c r="G176" s="1" t="s">
        <v>18</v>
      </c>
      <c r="H176" s="2">
        <v>44599</v>
      </c>
      <c r="I176" s="1" t="s">
        <v>52</v>
      </c>
    </row>
    <row r="177" spans="1:9" x14ac:dyDescent="0.3">
      <c r="A177" s="1" t="s">
        <v>132</v>
      </c>
      <c r="B177" s="1" t="s">
        <v>10</v>
      </c>
      <c r="C177" s="1">
        <v>19</v>
      </c>
      <c r="D177" s="1" t="s">
        <v>11</v>
      </c>
      <c r="E177" s="1">
        <v>2</v>
      </c>
      <c r="F177" s="1">
        <v>600.16</v>
      </c>
      <c r="G177" s="1" t="s">
        <v>18</v>
      </c>
      <c r="H177" s="2">
        <v>44547</v>
      </c>
      <c r="I177" s="1" t="s">
        <v>46</v>
      </c>
    </row>
    <row r="178" spans="1:9" x14ac:dyDescent="0.3">
      <c r="A178" s="1" t="s">
        <v>15</v>
      </c>
      <c r="B178" s="1" t="s">
        <v>16</v>
      </c>
      <c r="C178" s="1">
        <v>21</v>
      </c>
      <c r="D178" s="1" t="s">
        <v>17</v>
      </c>
      <c r="E178" s="1">
        <v>3</v>
      </c>
      <c r="F178" s="1">
        <v>1800.51</v>
      </c>
      <c r="G178" s="1" t="s">
        <v>18</v>
      </c>
      <c r="H178" s="2">
        <v>44542</v>
      </c>
      <c r="I178" s="1" t="s">
        <v>19</v>
      </c>
    </row>
    <row r="179" spans="1:9" x14ac:dyDescent="0.3">
      <c r="A179" s="1" t="s">
        <v>97</v>
      </c>
      <c r="B179" s="1" t="s">
        <v>10</v>
      </c>
      <c r="C179" s="1">
        <v>33</v>
      </c>
      <c r="D179" s="1" t="s">
        <v>11</v>
      </c>
      <c r="E179" s="1">
        <v>1</v>
      </c>
      <c r="F179" s="1">
        <v>300.08</v>
      </c>
      <c r="G179" s="1" t="s">
        <v>18</v>
      </c>
      <c r="H179" s="2">
        <v>44526</v>
      </c>
      <c r="I179" s="1" t="s">
        <v>13</v>
      </c>
    </row>
    <row r="180" spans="1:9" x14ac:dyDescent="0.3">
      <c r="A180" s="1" t="s">
        <v>148</v>
      </c>
      <c r="B180" s="1" t="s">
        <v>10</v>
      </c>
      <c r="C180" s="1">
        <v>19</v>
      </c>
      <c r="D180" s="1" t="s">
        <v>40</v>
      </c>
      <c r="E180" s="1">
        <v>3</v>
      </c>
      <c r="F180" s="1">
        <v>15.69</v>
      </c>
      <c r="G180" s="1" t="s">
        <v>18</v>
      </c>
      <c r="H180" s="2">
        <v>44477</v>
      </c>
      <c r="I180" s="1" t="s">
        <v>42</v>
      </c>
    </row>
    <row r="181" spans="1:9" x14ac:dyDescent="0.3">
      <c r="A181" s="1" t="s">
        <v>128</v>
      </c>
      <c r="B181" s="1" t="s">
        <v>10</v>
      </c>
      <c r="C181" s="1">
        <v>59</v>
      </c>
      <c r="D181" s="1" t="s">
        <v>44</v>
      </c>
      <c r="E181" s="1">
        <v>1</v>
      </c>
      <c r="F181" s="1">
        <v>35.840000000000003</v>
      </c>
      <c r="G181" s="1" t="s">
        <v>18</v>
      </c>
      <c r="H181" s="2">
        <v>44472</v>
      </c>
      <c r="I181" s="1" t="s">
        <v>13</v>
      </c>
    </row>
    <row r="182" spans="1:9" x14ac:dyDescent="0.3">
      <c r="A182" s="1" t="s">
        <v>110</v>
      </c>
      <c r="B182" s="1" t="s">
        <v>10</v>
      </c>
      <c r="C182" s="1">
        <v>57</v>
      </c>
      <c r="D182" s="1" t="s">
        <v>17</v>
      </c>
      <c r="E182" s="1">
        <v>5</v>
      </c>
      <c r="F182" s="1">
        <v>3000.85</v>
      </c>
      <c r="G182" s="1" t="s">
        <v>18</v>
      </c>
      <c r="H182" s="2">
        <v>44471</v>
      </c>
      <c r="I182" s="1" t="s">
        <v>42</v>
      </c>
    </row>
    <row r="183" spans="1:9" x14ac:dyDescent="0.3">
      <c r="A183" s="1" t="s">
        <v>212</v>
      </c>
      <c r="B183" s="1" t="s">
        <v>16</v>
      </c>
      <c r="C183" s="1">
        <v>23</v>
      </c>
      <c r="D183" s="1" t="s">
        <v>32</v>
      </c>
      <c r="E183" s="1">
        <v>4</v>
      </c>
      <c r="F183" s="1">
        <v>162.63999999999999</v>
      </c>
      <c r="G183" s="1" t="s">
        <v>18</v>
      </c>
      <c r="H183" s="2">
        <v>44471</v>
      </c>
      <c r="I183" s="1" t="s">
        <v>49</v>
      </c>
    </row>
    <row r="184" spans="1:9" x14ac:dyDescent="0.3">
      <c r="A184" s="1" t="s">
        <v>162</v>
      </c>
      <c r="B184" s="1" t="s">
        <v>10</v>
      </c>
      <c r="C184" s="1">
        <v>41</v>
      </c>
      <c r="D184" s="1" t="s">
        <v>11</v>
      </c>
      <c r="E184" s="1">
        <v>3</v>
      </c>
      <c r="F184" s="1">
        <v>900.24</v>
      </c>
      <c r="G184" s="1" t="s">
        <v>18</v>
      </c>
      <c r="H184" s="2">
        <v>44434</v>
      </c>
      <c r="I184" s="1" t="s">
        <v>42</v>
      </c>
    </row>
    <row r="185" spans="1:9" x14ac:dyDescent="0.3">
      <c r="A185" s="1" t="s">
        <v>129</v>
      </c>
      <c r="B185" s="1" t="s">
        <v>10</v>
      </c>
      <c r="C185" s="1">
        <v>30</v>
      </c>
      <c r="D185" s="1" t="s">
        <v>104</v>
      </c>
      <c r="E185" s="1">
        <v>5</v>
      </c>
      <c r="F185" s="1">
        <v>58.65</v>
      </c>
      <c r="G185" s="1" t="s">
        <v>18</v>
      </c>
      <c r="H185" s="2">
        <v>44406</v>
      </c>
      <c r="I185" s="1" t="s">
        <v>13</v>
      </c>
    </row>
    <row r="186" spans="1:9" x14ac:dyDescent="0.3">
      <c r="A186" s="1" t="s">
        <v>69</v>
      </c>
      <c r="B186" s="1" t="s">
        <v>16</v>
      </c>
      <c r="C186" s="1">
        <v>51</v>
      </c>
      <c r="D186" s="1" t="s">
        <v>11</v>
      </c>
      <c r="E186" s="1">
        <v>4</v>
      </c>
      <c r="F186" s="1">
        <v>1200.32</v>
      </c>
      <c r="G186" s="1" t="s">
        <v>18</v>
      </c>
      <c r="H186" s="2">
        <v>44388</v>
      </c>
      <c r="I186" s="1" t="s">
        <v>23</v>
      </c>
    </row>
    <row r="187" spans="1:9" x14ac:dyDescent="0.3">
      <c r="A187" s="1" t="s">
        <v>195</v>
      </c>
      <c r="B187" s="1" t="s">
        <v>10</v>
      </c>
      <c r="C187" s="1">
        <v>30</v>
      </c>
      <c r="D187" s="1" t="s">
        <v>59</v>
      </c>
      <c r="E187" s="1">
        <v>3</v>
      </c>
      <c r="F187" s="1">
        <v>3150</v>
      </c>
      <c r="G187" s="1" t="s">
        <v>18</v>
      </c>
      <c r="H187" s="2">
        <v>44366</v>
      </c>
      <c r="I187" s="1" t="s">
        <v>36</v>
      </c>
    </row>
    <row r="188" spans="1:9" x14ac:dyDescent="0.3">
      <c r="A188" s="1" t="s">
        <v>85</v>
      </c>
      <c r="B188" s="1" t="s">
        <v>10</v>
      </c>
      <c r="C188" s="1">
        <v>22</v>
      </c>
      <c r="D188" s="1" t="s">
        <v>28</v>
      </c>
      <c r="E188" s="1">
        <v>5</v>
      </c>
      <c r="F188" s="1">
        <v>75.75</v>
      </c>
      <c r="G188" s="1" t="s">
        <v>18</v>
      </c>
      <c r="H188" s="2">
        <v>44360</v>
      </c>
      <c r="I188" s="1" t="s">
        <v>19</v>
      </c>
    </row>
    <row r="189" spans="1:9" x14ac:dyDescent="0.3">
      <c r="A189" s="1" t="s">
        <v>153</v>
      </c>
      <c r="B189" s="1" t="s">
        <v>10</v>
      </c>
      <c r="C189" s="1">
        <v>60</v>
      </c>
      <c r="D189" s="1" t="s">
        <v>44</v>
      </c>
      <c r="E189" s="1">
        <v>4</v>
      </c>
      <c r="F189" s="1">
        <v>143.36000000000001</v>
      </c>
      <c r="G189" s="1" t="s">
        <v>18</v>
      </c>
      <c r="H189" s="2">
        <v>44354</v>
      </c>
      <c r="I189" s="1" t="s">
        <v>23</v>
      </c>
    </row>
    <row r="190" spans="1:9" x14ac:dyDescent="0.3">
      <c r="A190" s="1" t="s">
        <v>131</v>
      </c>
      <c r="B190" s="1" t="s">
        <v>10</v>
      </c>
      <c r="C190" s="1">
        <v>29</v>
      </c>
      <c r="D190" s="1" t="s">
        <v>44</v>
      </c>
      <c r="E190" s="1">
        <v>3</v>
      </c>
      <c r="F190" s="1">
        <v>107.52</v>
      </c>
      <c r="G190" s="1" t="s">
        <v>18</v>
      </c>
      <c r="H190" s="2">
        <v>44350</v>
      </c>
      <c r="I190" s="1" t="s">
        <v>36</v>
      </c>
    </row>
    <row r="191" spans="1:9" x14ac:dyDescent="0.3">
      <c r="A191" s="1" t="s">
        <v>157</v>
      </c>
      <c r="B191" s="1" t="s">
        <v>16</v>
      </c>
      <c r="C191" s="1">
        <v>35</v>
      </c>
      <c r="D191" s="1" t="s">
        <v>32</v>
      </c>
      <c r="E191" s="1">
        <v>4</v>
      </c>
      <c r="F191" s="1">
        <v>162.63999999999999</v>
      </c>
      <c r="G191" s="1" t="s">
        <v>18</v>
      </c>
      <c r="H191" s="2">
        <v>44346</v>
      </c>
      <c r="I191" s="1" t="s">
        <v>23</v>
      </c>
    </row>
    <row r="192" spans="1:9" x14ac:dyDescent="0.3">
      <c r="A192" s="1" t="s">
        <v>230</v>
      </c>
      <c r="B192" s="1" t="s">
        <v>16</v>
      </c>
      <c r="C192" s="1">
        <v>40</v>
      </c>
      <c r="D192" s="1" t="s">
        <v>11</v>
      </c>
      <c r="E192" s="1">
        <v>4</v>
      </c>
      <c r="F192" s="1">
        <v>1200.32</v>
      </c>
      <c r="G192" s="1" t="s">
        <v>18</v>
      </c>
      <c r="H192" s="2">
        <v>44340</v>
      </c>
      <c r="I192" s="1" t="s">
        <v>23</v>
      </c>
    </row>
    <row r="193" spans="1:9" x14ac:dyDescent="0.3">
      <c r="A193" s="1" t="s">
        <v>61</v>
      </c>
      <c r="B193" s="1" t="s">
        <v>16</v>
      </c>
      <c r="C193" s="1">
        <v>51</v>
      </c>
      <c r="D193" s="1" t="s">
        <v>44</v>
      </c>
      <c r="E193" s="1">
        <v>2</v>
      </c>
      <c r="F193" s="1">
        <v>71.680000000000007</v>
      </c>
      <c r="G193" s="1" t="s">
        <v>18</v>
      </c>
      <c r="H193" s="2">
        <v>44332</v>
      </c>
      <c r="I193" s="1" t="s">
        <v>33</v>
      </c>
    </row>
    <row r="194" spans="1:9" x14ac:dyDescent="0.3">
      <c r="A194" s="1" t="s">
        <v>136</v>
      </c>
      <c r="B194" s="1" t="s">
        <v>10</v>
      </c>
      <c r="C194" s="1">
        <v>26</v>
      </c>
      <c r="D194" s="1" t="s">
        <v>40</v>
      </c>
      <c r="E194" s="1">
        <v>4</v>
      </c>
      <c r="F194" s="1">
        <v>20.92</v>
      </c>
      <c r="G194" s="1" t="s">
        <v>18</v>
      </c>
      <c r="H194" s="2">
        <v>44320</v>
      </c>
      <c r="I194" s="1" t="s">
        <v>36</v>
      </c>
    </row>
    <row r="195" spans="1:9" x14ac:dyDescent="0.3">
      <c r="A195" s="1" t="s">
        <v>113</v>
      </c>
      <c r="B195" s="1" t="s">
        <v>10</v>
      </c>
      <c r="C195" s="1">
        <v>40</v>
      </c>
      <c r="D195" s="1" t="s">
        <v>11</v>
      </c>
      <c r="E195" s="1">
        <v>5</v>
      </c>
      <c r="F195" s="1">
        <v>1500.4</v>
      </c>
      <c r="G195" s="1" t="s">
        <v>18</v>
      </c>
      <c r="H195" s="2">
        <v>44303</v>
      </c>
      <c r="I195" s="1" t="s">
        <v>13</v>
      </c>
    </row>
    <row r="196" spans="1:9" x14ac:dyDescent="0.3">
      <c r="A196" s="1" t="s">
        <v>171</v>
      </c>
      <c r="B196" s="1" t="s">
        <v>16</v>
      </c>
      <c r="C196" s="1">
        <v>54</v>
      </c>
      <c r="D196" s="1" t="s">
        <v>11</v>
      </c>
      <c r="E196" s="1">
        <v>1</v>
      </c>
      <c r="F196" s="1">
        <v>300.08</v>
      </c>
      <c r="G196" s="1" t="s">
        <v>18</v>
      </c>
      <c r="H196" s="2">
        <v>44293</v>
      </c>
      <c r="I196" s="1" t="s">
        <v>25</v>
      </c>
    </row>
    <row r="197" spans="1:9" x14ac:dyDescent="0.3">
      <c r="A197" s="1" t="s">
        <v>214</v>
      </c>
      <c r="B197" s="1" t="s">
        <v>10</v>
      </c>
      <c r="C197" s="1">
        <v>66</v>
      </c>
      <c r="D197" s="1" t="s">
        <v>59</v>
      </c>
      <c r="E197" s="1">
        <v>3</v>
      </c>
      <c r="F197" s="1">
        <v>3150</v>
      </c>
      <c r="G197" s="1" t="s">
        <v>18</v>
      </c>
      <c r="H197" s="2">
        <v>44283</v>
      </c>
      <c r="I197" s="1" t="s">
        <v>46</v>
      </c>
    </row>
    <row r="198" spans="1:9" x14ac:dyDescent="0.3">
      <c r="A198" s="1" t="s">
        <v>103</v>
      </c>
      <c r="B198" s="1" t="s">
        <v>10</v>
      </c>
      <c r="C198" s="1">
        <v>24</v>
      </c>
      <c r="D198" s="1" t="s">
        <v>104</v>
      </c>
      <c r="E198" s="1">
        <v>5</v>
      </c>
      <c r="F198" s="1">
        <v>58.65</v>
      </c>
      <c r="G198" s="1" t="s">
        <v>18</v>
      </c>
      <c r="H198" s="2">
        <v>44269</v>
      </c>
      <c r="I198" s="1" t="s">
        <v>33</v>
      </c>
    </row>
    <row r="199" spans="1:9" x14ac:dyDescent="0.3">
      <c r="A199" s="1" t="s">
        <v>90</v>
      </c>
      <c r="B199" s="1" t="s">
        <v>10</v>
      </c>
      <c r="C199" s="1">
        <v>45</v>
      </c>
      <c r="D199" s="1" t="s">
        <v>40</v>
      </c>
      <c r="E199" s="1">
        <v>3</v>
      </c>
      <c r="F199" s="1">
        <v>15.69</v>
      </c>
      <c r="G199" s="1" t="s">
        <v>18</v>
      </c>
      <c r="H199" s="2">
        <v>44267</v>
      </c>
      <c r="I199" s="1" t="s">
        <v>49</v>
      </c>
    </row>
    <row r="200" spans="1:9" x14ac:dyDescent="0.3">
      <c r="A200" s="1" t="s">
        <v>164</v>
      </c>
      <c r="B200" s="1" t="s">
        <v>16</v>
      </c>
      <c r="C200" s="1">
        <v>40</v>
      </c>
      <c r="D200" s="1" t="s">
        <v>11</v>
      </c>
      <c r="E200" s="1">
        <v>1</v>
      </c>
      <c r="F200" s="1">
        <v>300.08</v>
      </c>
      <c r="G200" s="1" t="s">
        <v>18</v>
      </c>
      <c r="H200" s="2">
        <v>44247</v>
      </c>
      <c r="I200" s="1" t="s">
        <v>36</v>
      </c>
    </row>
    <row r="201" spans="1:9" x14ac:dyDescent="0.3">
      <c r="A201" s="1" t="s">
        <v>50</v>
      </c>
      <c r="B201" s="1" t="s">
        <v>16</v>
      </c>
      <c r="C201" s="1">
        <v>65</v>
      </c>
      <c r="D201" s="1" t="s">
        <v>28</v>
      </c>
      <c r="E201" s="1">
        <v>2</v>
      </c>
      <c r="F201" s="1">
        <v>30.3</v>
      </c>
      <c r="G201" s="1" t="s">
        <v>18</v>
      </c>
      <c r="H201" s="2">
        <v>44212</v>
      </c>
      <c r="I201" s="1" t="s">
        <v>23</v>
      </c>
    </row>
  </sheetData>
  <sortState xmlns:xlrd2="http://schemas.microsoft.com/office/spreadsheetml/2017/richdata2" ref="A2:I201">
    <sortCondition ref="G2:G20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BF79-1503-4FE0-9BFB-7BB80AA4C701}">
  <dimension ref="A1:N21"/>
  <sheetViews>
    <sheetView workbookViewId="0">
      <selection activeCell="B22" sqref="B22"/>
    </sheetView>
  </sheetViews>
  <sheetFormatPr defaultRowHeight="14.4" outlineLevelRow="2" x14ac:dyDescent="0.3"/>
  <cols>
    <col min="12" max="13" width="12.5546875" bestFit="1" customWidth="1"/>
    <col min="14" max="14" width="14.88671875" bestFit="1" customWidth="1"/>
  </cols>
  <sheetData>
    <row r="1" spans="1:14" x14ac:dyDescent="0.3">
      <c r="B1" t="s">
        <v>428</v>
      </c>
      <c r="C1" t="s">
        <v>429</v>
      </c>
      <c r="D1" t="s">
        <v>430</v>
      </c>
      <c r="E1" t="s">
        <v>429</v>
      </c>
      <c r="F1" t="s">
        <v>431</v>
      </c>
      <c r="G1" t="s">
        <v>430</v>
      </c>
      <c r="I1" t="s">
        <v>428</v>
      </c>
      <c r="J1" t="s">
        <v>432</v>
      </c>
      <c r="L1" s="33" t="s">
        <v>511</v>
      </c>
      <c r="M1" t="s">
        <v>512</v>
      </c>
    </row>
    <row r="2" spans="1:14" outlineLevel="2" x14ac:dyDescent="0.3">
      <c r="B2" t="s">
        <v>432</v>
      </c>
      <c r="C2">
        <v>500</v>
      </c>
      <c r="D2">
        <v>750</v>
      </c>
      <c r="E2">
        <v>600</v>
      </c>
      <c r="F2">
        <v>450</v>
      </c>
      <c r="G2">
        <v>800</v>
      </c>
      <c r="I2" t="s">
        <v>429</v>
      </c>
      <c r="J2">
        <v>500</v>
      </c>
      <c r="L2" s="34" t="s">
        <v>429</v>
      </c>
      <c r="M2">
        <v>1100</v>
      </c>
    </row>
    <row r="3" spans="1:14" outlineLevel="1" x14ac:dyDescent="0.3">
      <c r="B3" s="4" t="s">
        <v>509</v>
      </c>
      <c r="C3">
        <f>SUBTOTAL(9,C2:C2)</f>
        <v>500</v>
      </c>
      <c r="D3">
        <f>SUBTOTAL(9,D2:D2)</f>
        <v>750</v>
      </c>
      <c r="E3">
        <f>SUBTOTAL(9,E2:E2)</f>
        <v>600</v>
      </c>
      <c r="F3">
        <f>SUBTOTAL(9,F2:F2)</f>
        <v>450</v>
      </c>
      <c r="G3">
        <f>SUBTOTAL(9,G2:G2)</f>
        <v>800</v>
      </c>
      <c r="I3" t="s">
        <v>430</v>
      </c>
      <c r="J3">
        <v>750</v>
      </c>
      <c r="L3" s="34" t="s">
        <v>430</v>
      </c>
      <c r="M3">
        <v>1550</v>
      </c>
    </row>
    <row r="4" spans="1:14" x14ac:dyDescent="0.3">
      <c r="B4" s="4" t="s">
        <v>510</v>
      </c>
      <c r="C4">
        <f>SUBTOTAL(9,C2:C2)</f>
        <v>500</v>
      </c>
      <c r="D4">
        <f>SUBTOTAL(9,D2:D2)</f>
        <v>750</v>
      </c>
      <c r="E4">
        <f>SUBTOTAL(9,E2:E2)</f>
        <v>600</v>
      </c>
      <c r="F4">
        <f>SUBTOTAL(9,F2:F2)</f>
        <v>450</v>
      </c>
      <c r="G4">
        <f>SUBTOTAL(9,G2:G2)</f>
        <v>800</v>
      </c>
      <c r="I4" t="s">
        <v>429</v>
      </c>
      <c r="J4">
        <v>600</v>
      </c>
      <c r="L4" s="34" t="s">
        <v>431</v>
      </c>
      <c r="M4">
        <v>450</v>
      </c>
    </row>
    <row r="5" spans="1:14" x14ac:dyDescent="0.3">
      <c r="I5" t="s">
        <v>431</v>
      </c>
      <c r="J5">
        <v>450</v>
      </c>
      <c r="L5" s="34" t="s">
        <v>510</v>
      </c>
      <c r="M5">
        <v>3100</v>
      </c>
    </row>
    <row r="6" spans="1:14" outlineLevel="1" x14ac:dyDescent="0.3">
      <c r="B6" s="4"/>
      <c r="I6" t="s">
        <v>430</v>
      </c>
      <c r="J6">
        <v>800</v>
      </c>
    </row>
    <row r="7" spans="1:14" x14ac:dyDescent="0.3">
      <c r="B7" t="s">
        <v>428</v>
      </c>
      <c r="C7" t="s">
        <v>429</v>
      </c>
      <c r="D7" t="s">
        <v>430</v>
      </c>
      <c r="E7" t="s">
        <v>429</v>
      </c>
      <c r="F7" t="s">
        <v>431</v>
      </c>
      <c r="G7" t="s">
        <v>430</v>
      </c>
    </row>
    <row r="8" spans="1:14" outlineLevel="2" x14ac:dyDescent="0.3">
      <c r="B8" t="s">
        <v>538</v>
      </c>
      <c r="C8">
        <v>500</v>
      </c>
      <c r="D8">
        <v>750</v>
      </c>
      <c r="E8">
        <v>600</v>
      </c>
      <c r="F8">
        <v>450</v>
      </c>
      <c r="G8">
        <v>800</v>
      </c>
    </row>
    <row r="9" spans="1:14" outlineLevel="1" x14ac:dyDescent="0.3">
      <c r="A9" s="4" t="s">
        <v>540</v>
      </c>
      <c r="B9">
        <f>SUBTOTAL(9,B8:B8)</f>
        <v>0</v>
      </c>
      <c r="C9">
        <f>SUBTOTAL(9,C8:C8)</f>
        <v>500</v>
      </c>
      <c r="D9">
        <f>SUBTOTAL(9,D8:D8)</f>
        <v>750</v>
      </c>
      <c r="E9">
        <f>SUBTOTAL(9,E8:E8)</f>
        <v>600</v>
      </c>
      <c r="F9">
        <f>SUBTOTAL(9,F8:F8)</f>
        <v>450</v>
      </c>
      <c r="G9">
        <f>SUBTOTAL(9,G8:G8)</f>
        <v>800</v>
      </c>
      <c r="J9" t="s">
        <v>428</v>
      </c>
      <c r="K9" t="s">
        <v>432</v>
      </c>
      <c r="M9" s="33" t="s">
        <v>511</v>
      </c>
      <c r="N9" t="s">
        <v>542</v>
      </c>
    </row>
    <row r="10" spans="1:14" outlineLevel="2" x14ac:dyDescent="0.3">
      <c r="B10" t="s">
        <v>539</v>
      </c>
      <c r="C10">
        <v>100</v>
      </c>
      <c r="D10">
        <v>500</v>
      </c>
      <c r="E10">
        <v>780</v>
      </c>
      <c r="F10">
        <v>470</v>
      </c>
      <c r="G10">
        <v>500</v>
      </c>
      <c r="J10" t="s">
        <v>429</v>
      </c>
      <c r="K10">
        <v>500</v>
      </c>
      <c r="M10" s="34" t="s">
        <v>429</v>
      </c>
      <c r="N10" s="55">
        <v>550</v>
      </c>
    </row>
    <row r="11" spans="1:14" outlineLevel="1" x14ac:dyDescent="0.3">
      <c r="A11" s="4" t="s">
        <v>541</v>
      </c>
      <c r="B11">
        <f>SUBTOTAL(9,B10:B10)</f>
        <v>0</v>
      </c>
      <c r="C11">
        <f>SUBTOTAL(9,C10:C10)</f>
        <v>100</v>
      </c>
      <c r="D11">
        <f>SUBTOTAL(9,D10:D10)</f>
        <v>500</v>
      </c>
      <c r="E11">
        <f>SUBTOTAL(9,E10:E10)</f>
        <v>780</v>
      </c>
      <c r="F11">
        <f>SUBTOTAL(9,F10:F10)</f>
        <v>470</v>
      </c>
      <c r="G11">
        <f>SUBTOTAL(9,G10:G10)</f>
        <v>500</v>
      </c>
      <c r="J11" t="s">
        <v>430</v>
      </c>
      <c r="K11">
        <v>750</v>
      </c>
      <c r="M11" s="34" t="s">
        <v>430</v>
      </c>
      <c r="N11" s="55">
        <v>775</v>
      </c>
    </row>
    <row r="12" spans="1:14" x14ac:dyDescent="0.3">
      <c r="A12" s="4" t="s">
        <v>510</v>
      </c>
      <c r="B12">
        <f>SUBTOTAL(9,B8:B10)</f>
        <v>0</v>
      </c>
      <c r="C12" s="4">
        <f>SUBTOTAL(9,C8:C10)</f>
        <v>600</v>
      </c>
      <c r="D12" s="4">
        <f>SUBTOTAL(9,D8:D10)</f>
        <v>1250</v>
      </c>
      <c r="E12" s="4">
        <f>SUBTOTAL(9,E8:E10)</f>
        <v>1380</v>
      </c>
      <c r="F12" s="4">
        <f>SUBTOTAL(9,F8:F10)</f>
        <v>920</v>
      </c>
      <c r="G12" s="4">
        <f>SUBTOTAL(9,G8:G10)</f>
        <v>1300</v>
      </c>
      <c r="J12" t="s">
        <v>429</v>
      </c>
      <c r="K12">
        <v>600</v>
      </c>
      <c r="M12" s="34" t="s">
        <v>431</v>
      </c>
      <c r="N12" s="55">
        <v>450</v>
      </c>
    </row>
    <row r="13" spans="1:14" x14ac:dyDescent="0.3">
      <c r="J13" t="s">
        <v>431</v>
      </c>
      <c r="K13">
        <v>450</v>
      </c>
      <c r="M13" s="34" t="s">
        <v>510</v>
      </c>
      <c r="N13" s="55">
        <v>620</v>
      </c>
    </row>
    <row r="14" spans="1:14" x14ac:dyDescent="0.3">
      <c r="J14" t="s">
        <v>430</v>
      </c>
      <c r="K14">
        <v>800</v>
      </c>
    </row>
    <row r="16" spans="1:14" x14ac:dyDescent="0.3">
      <c r="B16" t="s">
        <v>428</v>
      </c>
      <c r="C16" t="s">
        <v>429</v>
      </c>
      <c r="D16" t="s">
        <v>430</v>
      </c>
      <c r="E16" t="s">
        <v>543</v>
      </c>
      <c r="F16" t="s">
        <v>431</v>
      </c>
      <c r="G16" t="s">
        <v>544</v>
      </c>
    </row>
    <row r="17" spans="2:7" x14ac:dyDescent="0.3">
      <c r="B17" t="s">
        <v>432</v>
      </c>
      <c r="C17">
        <v>500</v>
      </c>
      <c r="D17">
        <v>750</v>
      </c>
      <c r="E17">
        <v>600</v>
      </c>
      <c r="F17">
        <v>450</v>
      </c>
      <c r="G17">
        <v>800</v>
      </c>
    </row>
    <row r="18" spans="2:7" x14ac:dyDescent="0.3">
      <c r="B18" t="s">
        <v>545</v>
      </c>
      <c r="C18">
        <v>20</v>
      </c>
      <c r="D18">
        <v>-30</v>
      </c>
      <c r="E18">
        <v>60</v>
      </c>
      <c r="F18">
        <v>50</v>
      </c>
      <c r="G18">
        <v>400</v>
      </c>
    </row>
    <row r="19" spans="2:7" x14ac:dyDescent="0.3">
      <c r="B19" t="s">
        <v>262</v>
      </c>
      <c r="C19">
        <f>C17-C18</f>
        <v>480</v>
      </c>
      <c r="D19">
        <f t="shared" ref="D19:G19" si="0">D17-D18</f>
        <v>780</v>
      </c>
      <c r="E19">
        <f t="shared" si="0"/>
        <v>540</v>
      </c>
      <c r="F19">
        <f t="shared" si="0"/>
        <v>400</v>
      </c>
      <c r="G19">
        <f t="shared" si="0"/>
        <v>400</v>
      </c>
    </row>
    <row r="21" spans="2:7" x14ac:dyDescent="0.3">
      <c r="B21" t="s">
        <v>546</v>
      </c>
    </row>
  </sheetData>
  <phoneticPr fontId="25" type="noConversion"/>
  <pageMargins left="0.7" right="0.7" top="0.75" bottom="0.75" header="0.3" footer="0.3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61AF-80E2-4BDA-BC31-80C4A0730224}">
  <dimension ref="A1:Q31"/>
  <sheetViews>
    <sheetView showGridLines="0" tabSelected="1" workbookViewId="0">
      <selection activeCell="H3" sqref="H3"/>
    </sheetView>
  </sheetViews>
  <sheetFormatPr defaultRowHeight="14.4" x14ac:dyDescent="0.3"/>
  <cols>
    <col min="1" max="1" width="14.33203125" bestFit="1" customWidth="1"/>
    <col min="2" max="2" width="12.6640625" bestFit="1" customWidth="1"/>
  </cols>
  <sheetData>
    <row r="1" spans="1:17" x14ac:dyDescent="0.3">
      <c r="A1" t="s">
        <v>271</v>
      </c>
      <c r="B1" t="s">
        <v>272</v>
      </c>
      <c r="C1" t="s">
        <v>433</v>
      </c>
      <c r="H1" t="s">
        <v>489</v>
      </c>
      <c r="Q1" t="s">
        <v>487</v>
      </c>
    </row>
    <row r="2" spans="1:17" x14ac:dyDescent="0.3">
      <c r="A2" t="s">
        <v>434</v>
      </c>
      <c r="B2">
        <v>900</v>
      </c>
      <c r="C2">
        <v>15</v>
      </c>
      <c r="H2" s="4" t="s">
        <v>439</v>
      </c>
      <c r="Q2" s="4" t="s">
        <v>439</v>
      </c>
    </row>
    <row r="3" spans="1:17" x14ac:dyDescent="0.3">
      <c r="A3" t="s">
        <v>435</v>
      </c>
      <c r="B3">
        <v>20</v>
      </c>
      <c r="C3">
        <v>50</v>
      </c>
      <c r="H3" s="20" t="s">
        <v>440</v>
      </c>
      <c r="Q3" s="20" t="s">
        <v>456</v>
      </c>
    </row>
    <row r="4" spans="1:17" x14ac:dyDescent="0.3">
      <c r="A4" t="s">
        <v>436</v>
      </c>
      <c r="B4">
        <v>35</v>
      </c>
      <c r="C4">
        <v>30</v>
      </c>
      <c r="H4" s="20" t="s">
        <v>441</v>
      </c>
      <c r="Q4" s="20" t="s">
        <v>457</v>
      </c>
    </row>
    <row r="5" spans="1:17" x14ac:dyDescent="0.3">
      <c r="A5" t="s">
        <v>437</v>
      </c>
      <c r="B5">
        <v>200</v>
      </c>
      <c r="C5">
        <v>25</v>
      </c>
      <c r="H5" s="20" t="s">
        <v>442</v>
      </c>
      <c r="Q5" s="20" t="s">
        <v>458</v>
      </c>
    </row>
    <row r="6" spans="1:17" x14ac:dyDescent="0.3">
      <c r="A6" t="s">
        <v>438</v>
      </c>
      <c r="B6">
        <v>150</v>
      </c>
      <c r="C6">
        <v>10</v>
      </c>
      <c r="H6" s="20" t="s">
        <v>443</v>
      </c>
      <c r="Q6" s="20" t="s">
        <v>459</v>
      </c>
    </row>
    <row r="7" spans="1:17" x14ac:dyDescent="0.3">
      <c r="H7" s="20" t="s">
        <v>444</v>
      </c>
    </row>
    <row r="12" spans="1:17" x14ac:dyDescent="0.3">
      <c r="H12" t="s">
        <v>488</v>
      </c>
    </row>
    <row r="13" spans="1:17" x14ac:dyDescent="0.3">
      <c r="A13" t="s">
        <v>445</v>
      </c>
      <c r="B13" t="s">
        <v>446</v>
      </c>
      <c r="C13" t="s">
        <v>271</v>
      </c>
      <c r="H13" s="4" t="s">
        <v>439</v>
      </c>
    </row>
    <row r="14" spans="1:17" x14ac:dyDescent="0.3">
      <c r="A14" t="s">
        <v>447</v>
      </c>
      <c r="B14" s="21">
        <v>45047</v>
      </c>
      <c r="C14" t="s">
        <v>434</v>
      </c>
      <c r="D14" t="str">
        <f>LEFT(A14,FIND(" ",A14))</f>
        <v xml:space="preserve">John </v>
      </c>
      <c r="E14" t="str">
        <f>RIGHT(A14,)</f>
        <v/>
      </c>
      <c r="H14" s="20" t="s">
        <v>452</v>
      </c>
    </row>
    <row r="15" spans="1:17" x14ac:dyDescent="0.3">
      <c r="A15" t="s">
        <v>448</v>
      </c>
      <c r="B15" s="21">
        <v>45092</v>
      </c>
      <c r="C15" t="s">
        <v>435</v>
      </c>
      <c r="D15" t="str">
        <f t="shared" ref="D15:D18" si="0">LEFT(A15,FIND(" ",A15))</f>
        <v xml:space="preserve">Sarah </v>
      </c>
      <c r="H15" s="20" t="s">
        <v>453</v>
      </c>
    </row>
    <row r="16" spans="1:17" x14ac:dyDescent="0.3">
      <c r="A16" t="s">
        <v>449</v>
      </c>
      <c r="B16" s="21">
        <v>45132</v>
      </c>
      <c r="C16" t="s">
        <v>436</v>
      </c>
      <c r="D16" t="str">
        <f t="shared" si="0"/>
        <v xml:space="preserve">Daniel </v>
      </c>
      <c r="H16" s="20" t="s">
        <v>454</v>
      </c>
    </row>
    <row r="17" spans="1:8" x14ac:dyDescent="0.3">
      <c r="A17" t="s">
        <v>450</v>
      </c>
      <c r="B17" s="21">
        <v>45148</v>
      </c>
      <c r="C17" t="s">
        <v>437</v>
      </c>
      <c r="D17" t="str">
        <f t="shared" si="0"/>
        <v xml:space="preserve">Emily </v>
      </c>
      <c r="H17" s="20" t="s">
        <v>455</v>
      </c>
    </row>
    <row r="18" spans="1:8" x14ac:dyDescent="0.3">
      <c r="A18" t="s">
        <v>451</v>
      </c>
      <c r="B18" s="21">
        <v>45158</v>
      </c>
      <c r="C18" t="s">
        <v>438</v>
      </c>
      <c r="D18" t="str">
        <f t="shared" si="0"/>
        <v xml:space="preserve">Jessica </v>
      </c>
    </row>
    <row r="22" spans="1:8" ht="18" x14ac:dyDescent="0.3">
      <c r="A22" s="23" t="s">
        <v>490</v>
      </c>
    </row>
    <row r="24" spans="1:8" x14ac:dyDescent="0.3">
      <c r="A24" s="4" t="s">
        <v>491</v>
      </c>
    </row>
    <row r="25" spans="1:8" x14ac:dyDescent="0.3">
      <c r="A25" t="s">
        <v>492</v>
      </c>
    </row>
    <row r="27" spans="1:8" x14ac:dyDescent="0.3">
      <c r="A27" s="4" t="s">
        <v>439</v>
      </c>
    </row>
    <row r="28" spans="1:8" x14ac:dyDescent="0.3">
      <c r="A28" s="22"/>
    </row>
    <row r="29" spans="1:8" x14ac:dyDescent="0.3">
      <c r="A29" s="22" t="s">
        <v>493</v>
      </c>
    </row>
    <row r="30" spans="1:8" x14ac:dyDescent="0.3">
      <c r="A30" s="22" t="s">
        <v>494</v>
      </c>
    </row>
    <row r="31" spans="1:8" x14ac:dyDescent="0.3">
      <c r="A31" s="22" t="s">
        <v>495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7C23-C6A9-4383-84A7-BE452EA983F2}">
  <dimension ref="A1:I43"/>
  <sheetViews>
    <sheetView topLeftCell="A13" workbookViewId="0">
      <selection activeCell="C26" sqref="C26"/>
    </sheetView>
  </sheetViews>
  <sheetFormatPr defaultRowHeight="14.4" x14ac:dyDescent="0.3"/>
  <cols>
    <col min="1" max="1" width="14.33203125" bestFit="1" customWidth="1"/>
    <col min="2" max="2" width="14.33203125" customWidth="1"/>
    <col min="3" max="3" width="20" bestFit="1" customWidth="1"/>
    <col min="4" max="4" width="12.44140625" bestFit="1" customWidth="1"/>
    <col min="5" max="5" width="15" bestFit="1" customWidth="1"/>
  </cols>
  <sheetData>
    <row r="1" spans="1:9" ht="18" x14ac:dyDescent="0.3">
      <c r="A1" t="s">
        <v>445</v>
      </c>
      <c r="C1" t="s">
        <v>460</v>
      </c>
      <c r="D1" t="s">
        <v>461</v>
      </c>
      <c r="E1" t="s">
        <v>462</v>
      </c>
      <c r="I1" s="23" t="s">
        <v>486</v>
      </c>
    </row>
    <row r="2" spans="1:9" x14ac:dyDescent="0.3">
      <c r="A2" t="s">
        <v>447</v>
      </c>
      <c r="C2" t="s">
        <v>463</v>
      </c>
      <c r="D2">
        <v>250</v>
      </c>
      <c r="E2">
        <v>45047</v>
      </c>
      <c r="I2" s="4" t="s">
        <v>439</v>
      </c>
    </row>
    <row r="3" spans="1:9" x14ac:dyDescent="0.3">
      <c r="A3" t="s">
        <v>448</v>
      </c>
      <c r="C3" t="s">
        <v>464</v>
      </c>
      <c r="D3">
        <v>100</v>
      </c>
      <c r="E3">
        <v>45078</v>
      </c>
      <c r="I3" s="4" t="s">
        <v>469</v>
      </c>
    </row>
    <row r="4" spans="1:9" x14ac:dyDescent="0.3">
      <c r="A4" t="s">
        <v>513</v>
      </c>
      <c r="B4" t="s">
        <v>514</v>
      </c>
      <c r="C4" t="s">
        <v>465</v>
      </c>
      <c r="D4">
        <v>250</v>
      </c>
      <c r="E4">
        <v>45051</v>
      </c>
      <c r="I4" s="4" t="s">
        <v>470</v>
      </c>
    </row>
    <row r="5" spans="1:9" x14ac:dyDescent="0.3">
      <c r="A5" t="s">
        <v>515</v>
      </c>
      <c r="B5" t="s">
        <v>516</v>
      </c>
      <c r="C5" t="s">
        <v>466</v>
      </c>
      <c r="D5">
        <v>300</v>
      </c>
      <c r="E5">
        <v>45109</v>
      </c>
      <c r="I5" s="4" t="s">
        <v>471</v>
      </c>
    </row>
    <row r="6" spans="1:9" x14ac:dyDescent="0.3">
      <c r="A6" t="s">
        <v>517</v>
      </c>
      <c r="B6" t="s">
        <v>518</v>
      </c>
      <c r="C6" t="s">
        <v>467</v>
      </c>
      <c r="D6">
        <v>150</v>
      </c>
      <c r="E6">
        <v>45143</v>
      </c>
      <c r="I6" s="4" t="s">
        <v>472</v>
      </c>
    </row>
    <row r="7" spans="1:9" x14ac:dyDescent="0.3">
      <c r="A7" t="s">
        <v>519</v>
      </c>
      <c r="B7" t="s">
        <v>520</v>
      </c>
      <c r="C7" t="s">
        <v>468</v>
      </c>
      <c r="E7">
        <v>45153</v>
      </c>
    </row>
    <row r="10" spans="1:9" ht="18" x14ac:dyDescent="0.3">
      <c r="I10" s="23" t="s">
        <v>485</v>
      </c>
    </row>
    <row r="11" spans="1:9" x14ac:dyDescent="0.3">
      <c r="A11" t="s">
        <v>271</v>
      </c>
      <c r="C11" t="s">
        <v>432</v>
      </c>
      <c r="I11" s="4" t="s">
        <v>439</v>
      </c>
    </row>
    <row r="12" spans="1:9" x14ac:dyDescent="0.3">
      <c r="A12" t="s">
        <v>434</v>
      </c>
      <c r="C12">
        <v>1500</v>
      </c>
      <c r="I12" s="22" t="s">
        <v>473</v>
      </c>
    </row>
    <row r="13" spans="1:9" x14ac:dyDescent="0.3">
      <c r="A13" t="s">
        <v>435</v>
      </c>
      <c r="C13">
        <v>500</v>
      </c>
      <c r="I13" s="22" t="s">
        <v>474</v>
      </c>
    </row>
    <row r="14" spans="1:9" x14ac:dyDescent="0.3">
      <c r="A14" t="s">
        <v>436</v>
      </c>
      <c r="C14">
        <v>700</v>
      </c>
      <c r="I14" s="22" t="s">
        <v>475</v>
      </c>
    </row>
    <row r="15" spans="1:9" x14ac:dyDescent="0.3">
      <c r="A15" t="s">
        <v>437</v>
      </c>
      <c r="C15">
        <v>1200</v>
      </c>
      <c r="I15" s="22" t="s">
        <v>476</v>
      </c>
    </row>
    <row r="16" spans="1:9" x14ac:dyDescent="0.3">
      <c r="A16" t="s">
        <v>438</v>
      </c>
      <c r="C16">
        <v>300</v>
      </c>
    </row>
    <row r="18" spans="1:9" x14ac:dyDescent="0.3">
      <c r="I18" t="s">
        <v>484</v>
      </c>
    </row>
    <row r="19" spans="1:9" x14ac:dyDescent="0.3">
      <c r="A19" s="18" t="s">
        <v>428</v>
      </c>
      <c r="B19" s="18"/>
      <c r="C19" s="18" t="s">
        <v>477</v>
      </c>
      <c r="D19" s="18" t="s">
        <v>271</v>
      </c>
      <c r="E19" s="18" t="s">
        <v>432</v>
      </c>
      <c r="I19" s="4" t="s">
        <v>439</v>
      </c>
    </row>
    <row r="20" spans="1:9" x14ac:dyDescent="0.3">
      <c r="A20" s="19" t="s">
        <v>429</v>
      </c>
      <c r="B20" s="19"/>
      <c r="C20" s="19" t="s">
        <v>447</v>
      </c>
      <c r="D20" s="19" t="s">
        <v>434</v>
      </c>
      <c r="E20" s="19">
        <v>1200</v>
      </c>
      <c r="I20" s="20" t="s">
        <v>479</v>
      </c>
    </row>
    <row r="21" spans="1:9" x14ac:dyDescent="0.3">
      <c r="A21" s="19" t="s">
        <v>430</v>
      </c>
      <c r="B21" s="19"/>
      <c r="C21" s="19" t="s">
        <v>448</v>
      </c>
      <c r="D21" s="19" t="s">
        <v>435</v>
      </c>
      <c r="E21" s="19">
        <v>500</v>
      </c>
      <c r="I21" s="20" t="s">
        <v>480</v>
      </c>
    </row>
    <row r="22" spans="1:9" x14ac:dyDescent="0.3">
      <c r="A22" s="19" t="s">
        <v>478</v>
      </c>
      <c r="B22" s="19"/>
      <c r="C22" s="19" t="s">
        <v>449</v>
      </c>
      <c r="D22" s="19" t="s">
        <v>437</v>
      </c>
      <c r="E22" s="19">
        <v>800</v>
      </c>
      <c r="I22" s="22" t="s">
        <v>481</v>
      </c>
    </row>
    <row r="23" spans="1:9" x14ac:dyDescent="0.3">
      <c r="A23" s="19" t="s">
        <v>429</v>
      </c>
      <c r="B23" s="19"/>
      <c r="C23" s="19" t="s">
        <v>450</v>
      </c>
      <c r="D23" s="19" t="s">
        <v>436</v>
      </c>
      <c r="E23" s="19">
        <v>700</v>
      </c>
      <c r="I23" s="20" t="s">
        <v>482</v>
      </c>
    </row>
    <row r="24" spans="1:9" x14ac:dyDescent="0.3">
      <c r="A24" s="19" t="s">
        <v>430</v>
      </c>
      <c r="B24" s="19"/>
      <c r="C24" s="19" t="s">
        <v>451</v>
      </c>
      <c r="D24" s="19" t="s">
        <v>438</v>
      </c>
      <c r="E24" s="19">
        <v>300</v>
      </c>
      <c r="I24" s="20" t="s">
        <v>483</v>
      </c>
    </row>
    <row r="26" spans="1:9" x14ac:dyDescent="0.3">
      <c r="C26" s="35"/>
      <c r="D26" s="36"/>
      <c r="E26" s="37"/>
    </row>
    <row r="27" spans="1:9" x14ac:dyDescent="0.3">
      <c r="C27" s="38"/>
      <c r="D27" s="39"/>
      <c r="E27" s="40"/>
    </row>
    <row r="28" spans="1:9" x14ac:dyDescent="0.3">
      <c r="C28" s="38"/>
      <c r="D28" s="39"/>
      <c r="E28" s="40"/>
    </row>
    <row r="29" spans="1:9" x14ac:dyDescent="0.3">
      <c r="C29" s="38"/>
      <c r="D29" s="39"/>
      <c r="E29" s="40"/>
    </row>
    <row r="30" spans="1:9" x14ac:dyDescent="0.3">
      <c r="C30" s="38"/>
      <c r="D30" s="39"/>
      <c r="E30" s="40"/>
    </row>
    <row r="31" spans="1:9" x14ac:dyDescent="0.3">
      <c r="C31" s="38"/>
      <c r="D31" s="39"/>
      <c r="E31" s="40"/>
    </row>
    <row r="32" spans="1:9" x14ac:dyDescent="0.3">
      <c r="C32" s="38"/>
      <c r="D32" s="39"/>
      <c r="E32" s="40"/>
    </row>
    <row r="33" spans="3:5" x14ac:dyDescent="0.3">
      <c r="C33" s="38"/>
      <c r="D33" s="39"/>
      <c r="E33" s="40"/>
    </row>
    <row r="34" spans="3:5" x14ac:dyDescent="0.3">
      <c r="C34" s="38"/>
      <c r="D34" s="39"/>
      <c r="E34" s="40"/>
    </row>
    <row r="35" spans="3:5" x14ac:dyDescent="0.3">
      <c r="C35" s="38"/>
      <c r="D35" s="39"/>
      <c r="E35" s="40"/>
    </row>
    <row r="36" spans="3:5" x14ac:dyDescent="0.3">
      <c r="C36" s="38"/>
      <c r="D36" s="39"/>
      <c r="E36" s="40"/>
    </row>
    <row r="37" spans="3:5" x14ac:dyDescent="0.3">
      <c r="C37" s="38"/>
      <c r="D37" s="39"/>
      <c r="E37" s="40"/>
    </row>
    <row r="38" spans="3:5" x14ac:dyDescent="0.3">
      <c r="C38" s="38"/>
      <c r="D38" s="39"/>
      <c r="E38" s="40"/>
    </row>
    <row r="39" spans="3:5" x14ac:dyDescent="0.3">
      <c r="C39" s="38"/>
      <c r="D39" s="39"/>
      <c r="E39" s="40"/>
    </row>
    <row r="40" spans="3:5" x14ac:dyDescent="0.3">
      <c r="C40" s="38"/>
      <c r="D40" s="39"/>
      <c r="E40" s="40"/>
    </row>
    <row r="41" spans="3:5" x14ac:dyDescent="0.3">
      <c r="C41" s="38"/>
      <c r="D41" s="39"/>
      <c r="E41" s="40"/>
    </row>
    <row r="42" spans="3:5" x14ac:dyDescent="0.3">
      <c r="C42" s="38"/>
      <c r="D42" s="39"/>
      <c r="E42" s="40"/>
    </row>
    <row r="43" spans="3:5" x14ac:dyDescent="0.3">
      <c r="C43" s="41"/>
      <c r="D43" s="42"/>
      <c r="E43" s="43"/>
    </row>
  </sheetData>
  <pageMargins left="0.7" right="0.7" top="0.75" bottom="0.75" header="0.3" footer="0.3"/>
  <pageSetup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9629-219A-46C2-803B-1E621EC2A838}">
  <dimension ref="A1"/>
  <sheetViews>
    <sheetView workbookViewId="0">
      <selection activeCell="I22" sqref="I2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 (2)</vt:lpstr>
      <vt:lpstr>Rough Work</vt:lpstr>
      <vt:lpstr>customer_shopping_data</vt:lpstr>
      <vt:lpstr>Text Function</vt:lpstr>
      <vt:lpstr>Concat</vt:lpstr>
      <vt:lpstr>Format Printer</vt:lpstr>
      <vt:lpstr>Number Format</vt:lpstr>
      <vt:lpstr>Dates &amp; Time</vt:lpstr>
      <vt:lpstr>VLOOKUP</vt:lpstr>
      <vt:lpstr>HLOOKUP</vt:lpstr>
      <vt:lpstr>Conditional Functions</vt:lpstr>
      <vt:lpstr>Text Operations</vt:lpstr>
      <vt:lpstr>Conditional Formatting</vt:lpstr>
      <vt:lpstr>Sort &amp; Filter</vt:lpstr>
      <vt:lpstr>Subtotal</vt:lpstr>
      <vt:lpstr>Practice 1</vt:lpstr>
      <vt:lpstr>Practice 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Kavita Patel</dc:creator>
  <cp:keywords/>
  <dc:description/>
  <cp:lastModifiedBy>Poomathi Thangarasu</cp:lastModifiedBy>
  <cp:revision/>
  <dcterms:created xsi:type="dcterms:W3CDTF">2023-11-03T12:53:47Z</dcterms:created>
  <dcterms:modified xsi:type="dcterms:W3CDTF">2024-12-14T11:24:59Z</dcterms:modified>
  <cp:category/>
  <cp:contentStatus/>
</cp:coreProperties>
</file>